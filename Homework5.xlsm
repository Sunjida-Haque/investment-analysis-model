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6.xml" ContentType="application/vnd.ms-excel.controlproperti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39653d3230aaf88d/Desktop/"/>
    </mc:Choice>
  </mc:AlternateContent>
  <xr:revisionPtr revIDLastSave="2" documentId="8_{99A07CEA-1478-4FF7-912D-3B51D336D31E}" xr6:coauthVersionLast="47" xr6:coauthVersionMax="47" xr10:uidLastSave="{7FB8A942-98A9-42E4-BE63-E074D786189A}"/>
  <bookViews>
    <workbookView xWindow="-108" yWindow="-108" windowWidth="23256" windowHeight="12456" activeTab="2" xr2:uid="{A37DBC52-12C7-4568-9672-0D7951567A43}"/>
  </bookViews>
  <sheets>
    <sheet name="Input" sheetId="1" r:id="rId1"/>
    <sheet name="Calculation" sheetId="4" r:id="rId2"/>
    <sheet name="Output" sheetId="2" r:id="rId3"/>
    <sheet name="Sensitivity Analysis" sheetId="3" r:id="rId4"/>
  </sheets>
  <externalReferences>
    <externalReference r:id="rId5"/>
  </externalReferences>
  <definedNames>
    <definedName name="inflation">Input!$B$8</definedName>
    <definedName name="npv">Calculation!$O$15</definedName>
    <definedName name="price">Input!$B$14</definedName>
    <definedName name="tax">Input!$B$9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4" l="1"/>
  <c r="O9" i="4"/>
  <c r="O8" i="4"/>
  <c r="N8" i="4"/>
  <c r="M8" i="4"/>
  <c r="L8" i="4"/>
  <c r="K8" i="4"/>
  <c r="J8" i="4"/>
  <c r="I8" i="4"/>
  <c r="H8" i="4"/>
  <c r="G8" i="4"/>
  <c r="F8" i="4"/>
  <c r="E8" i="4"/>
  <c r="D8" i="4"/>
  <c r="F5" i="4"/>
  <c r="E5" i="4"/>
  <c r="D5" i="4"/>
  <c r="B14" i="1"/>
  <c r="F6" i="4" s="1"/>
  <c r="B8" i="1"/>
  <c r="B9" i="1"/>
  <c r="D6" i="4" l="1"/>
  <c r="E6" i="4"/>
  <c r="E4" i="2"/>
  <c r="E3" i="2"/>
  <c r="E2" i="2"/>
  <c r="C9" i="1"/>
  <c r="C8" i="1"/>
  <c r="B7" i="1" s="1"/>
  <c r="C7" i="1" s="1"/>
  <c r="C3" i="1"/>
  <c r="B15" i="1"/>
  <c r="B19" i="1"/>
  <c r="C19" i="1" s="1"/>
  <c r="B11" i="1"/>
  <c r="N6" i="4" l="1"/>
  <c r="J6" i="4"/>
  <c r="N5" i="4"/>
  <c r="J5" i="4"/>
  <c r="I6" i="4"/>
  <c r="L6" i="4"/>
  <c r="O6" i="4"/>
  <c r="K6" i="4"/>
  <c r="G6" i="4"/>
  <c r="O5" i="4"/>
  <c r="K5" i="4"/>
  <c r="G5" i="4"/>
  <c r="M6" i="4"/>
  <c r="M5" i="4"/>
  <c r="I5" i="4"/>
  <c r="H6" i="4"/>
  <c r="L5" i="4"/>
  <c r="H5" i="4"/>
  <c r="N4" i="4"/>
  <c r="H4" i="4"/>
  <c r="D4" i="4"/>
  <c r="M4" i="4"/>
  <c r="G4" i="4"/>
  <c r="O4" i="4"/>
  <c r="K4" i="4"/>
  <c r="E4" i="4"/>
  <c r="L4" i="4"/>
  <c r="F4" i="4"/>
  <c r="C3" i="4"/>
  <c r="C13" i="4" s="1"/>
  <c r="C14" i="4" s="1"/>
  <c r="B13" i="4"/>
  <c r="B14" i="4" s="1"/>
  <c r="B21" i="1"/>
  <c r="B18" i="1"/>
  <c r="J7" i="4" l="1"/>
  <c r="J10" i="4" s="1"/>
  <c r="L7" i="4"/>
  <c r="L10" i="4" s="1"/>
  <c r="G7" i="4"/>
  <c r="G10" i="4" s="1"/>
  <c r="N7" i="4"/>
  <c r="N10" i="4" s="1"/>
  <c r="I7" i="4"/>
  <c r="I10" i="4" s="1"/>
  <c r="E7" i="4"/>
  <c r="E10" i="4" s="1"/>
  <c r="F7" i="4"/>
  <c r="F10" i="4" s="1"/>
  <c r="O7" i="4"/>
  <c r="O10" i="4" s="1"/>
  <c r="H7" i="4"/>
  <c r="H10" i="4" s="1"/>
  <c r="C15" i="4"/>
  <c r="B15" i="4"/>
  <c r="M7" i="4"/>
  <c r="M10" i="4" s="1"/>
  <c r="K7" i="4"/>
  <c r="K10" i="4" s="1"/>
  <c r="D7" i="4"/>
  <c r="D10" i="4" s="1"/>
  <c r="K11" i="4" l="1"/>
  <c r="K13" i="4" s="1"/>
  <c r="K14" i="4" s="1"/>
  <c r="O11" i="4"/>
  <c r="O13" i="4" s="1"/>
  <c r="O14" i="4" s="1"/>
  <c r="N11" i="4"/>
  <c r="N13" i="4" s="1"/>
  <c r="N14" i="4" s="1"/>
  <c r="E11" i="4"/>
  <c r="E13" i="4" s="1"/>
  <c r="E14" i="4" s="1"/>
  <c r="L11" i="4"/>
  <c r="L13" i="4" s="1"/>
  <c r="L14" i="4" s="1"/>
  <c r="H11" i="4"/>
  <c r="H13" i="4" s="1"/>
  <c r="H14" i="4" s="1"/>
  <c r="G11" i="4"/>
  <c r="G13" i="4" s="1"/>
  <c r="G14" i="4" s="1"/>
  <c r="D11" i="4"/>
  <c r="D13" i="4" s="1"/>
  <c r="M11" i="4"/>
  <c r="M13" i="4" s="1"/>
  <c r="M14" i="4" s="1"/>
  <c r="F11" i="4"/>
  <c r="F13" i="4" s="1"/>
  <c r="F14" i="4" s="1"/>
  <c r="I11" i="4"/>
  <c r="I13" i="4" s="1"/>
  <c r="I14" i="4" s="1"/>
  <c r="J11" i="4"/>
  <c r="J13" i="4" s="1"/>
  <c r="J14" i="4" s="1"/>
  <c r="D14" i="4" l="1"/>
  <c r="I3" i="2"/>
  <c r="I2" i="2"/>
  <c r="J12" i="4"/>
  <c r="F12" i="4"/>
  <c r="D12" i="4"/>
  <c r="H12" i="4"/>
  <c r="E12" i="4"/>
  <c r="O12" i="4"/>
  <c r="I12" i="4"/>
  <c r="M12" i="4"/>
  <c r="G12" i="4"/>
  <c r="L12" i="4"/>
  <c r="N12" i="4"/>
  <c r="K12" i="4"/>
  <c r="I4" i="2" l="1"/>
  <c r="H7" i="3"/>
  <c r="H5" i="3"/>
  <c r="H4" i="3"/>
  <c r="H6" i="3"/>
  <c r="H3" i="3"/>
  <c r="G15" i="4"/>
  <c r="M15" i="4"/>
  <c r="I15" i="4"/>
  <c r="L15" i="4"/>
  <c r="J15" i="4"/>
  <c r="E15" i="4"/>
  <c r="H15" i="4"/>
  <c r="O15" i="4"/>
  <c r="K15" i="4"/>
  <c r="F15" i="4"/>
  <c r="N15" i="4"/>
  <c r="D15" i="4"/>
  <c r="I5" i="2" l="1" a="1"/>
  <c r="I5" i="2" s="1"/>
  <c r="T4" i="3"/>
  <c r="T5" i="3"/>
  <c r="T6" i="3"/>
  <c r="T3" i="3"/>
  <c r="T7"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<sst xmlns="http://schemas.openxmlformats.org/spreadsheetml/2006/main" count="83" uniqueCount="69">
  <si>
    <t>Years</t>
  </si>
  <si>
    <t>Investment</t>
  </si>
  <si>
    <t>Working capital investment</t>
  </si>
  <si>
    <t>Variable costs</t>
  </si>
  <si>
    <t>Sales</t>
  </si>
  <si>
    <t>EBITDA</t>
  </si>
  <si>
    <t>Depreciations</t>
  </si>
  <si>
    <t>Expenditure residue of machine</t>
  </si>
  <si>
    <t>EBIT</t>
  </si>
  <si>
    <t>TAXES</t>
  </si>
  <si>
    <t>NET PROFIT</t>
  </si>
  <si>
    <t>CF</t>
  </si>
  <si>
    <t>DCF</t>
  </si>
  <si>
    <t>Cum DCF</t>
  </si>
  <si>
    <t>Production cost/bottle</t>
  </si>
  <si>
    <t>Price of a bottle</t>
  </si>
  <si>
    <t>Profit/bottle</t>
  </si>
  <si>
    <t>Units/year</t>
  </si>
  <si>
    <t>Start year of sales</t>
  </si>
  <si>
    <t>Sales of bottle first 3 years</t>
  </si>
  <si>
    <t>Units/year after 3 years</t>
  </si>
  <si>
    <t>Start year of higher sales</t>
  </si>
  <si>
    <t>Sales after 3 years</t>
  </si>
  <si>
    <t>Last sale year</t>
  </si>
  <si>
    <t>INPUTS</t>
  </si>
  <si>
    <t>First year of working cap.</t>
  </si>
  <si>
    <t>Last year of working cap.</t>
  </si>
  <si>
    <t>Discount rate - nominal</t>
  </si>
  <si>
    <t>Discount rate - real</t>
  </si>
  <si>
    <t>Inflation rate</t>
  </si>
  <si>
    <t>Corporate tax</t>
  </si>
  <si>
    <t>Last year of construction</t>
  </si>
  <si>
    <t>Inflation</t>
  </si>
  <si>
    <t>Tax</t>
  </si>
  <si>
    <t>Price</t>
  </si>
  <si>
    <t>Pessimistic</t>
  </si>
  <si>
    <t>Realistic</t>
  </si>
  <si>
    <t>Optimistic</t>
  </si>
  <si>
    <t>CALCULATION</t>
  </si>
  <si>
    <t>NPV</t>
  </si>
  <si>
    <t>IRR</t>
  </si>
  <si>
    <t>PI</t>
  </si>
  <si>
    <t>DPP</t>
  </si>
  <si>
    <t>BREAKEVEN ANALYSIS</t>
  </si>
  <si>
    <t>INDICATORS</t>
  </si>
  <si>
    <t>units</t>
  </si>
  <si>
    <t>Working capital</t>
  </si>
  <si>
    <t>bottle price</t>
  </si>
  <si>
    <t>investment</t>
  </si>
  <si>
    <t>Profitability index</t>
  </si>
  <si>
    <t>Factors</t>
  </si>
  <si>
    <t>Discount rate-real</t>
  </si>
  <si>
    <t>inflation</t>
  </si>
  <si>
    <t>price</t>
  </si>
  <si>
    <t>tax</t>
  </si>
  <si>
    <t>pessimistic</t>
  </si>
  <si>
    <t>Created by Merituuli Jääskeläinen on 05/07/2021</t>
  </si>
  <si>
    <t>realistic</t>
  </si>
  <si>
    <t>optimistic</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</si>
  <si>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</si>
  <si>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</si>
  <si>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</si>
  <si>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</si>
  <si>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</si>
  <si>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</si>
  <si>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</si>
  <si>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npv</t>
  </si>
  <si>
    <t xml:space="preserve"> ANALYSIS of SCENARIO</t>
  </si>
  <si>
    <t>(number)#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</si>
</sst>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409]* #,##0.00_ ;_-[$$-409]* \-#,##0.00\ ;_-[$$-409]* &quot;-&quot;??_ ;_-@_ "/>
    <numFmt numFmtId="165" formatCode="0.0"/>
    <numFmt numFmtId="166" formatCode="0.0%"/>
  </numFmts>
  <fonts count="20" x14ac:knownFonts="1">
    <font>
      <sz val="11"/>
      <color theme="1"/>
      <name val="Calibri"/>
      <family val="2"/>
      <scheme val="minor"/>
    </font>
    <font>
      <sz val="11"/>
      <color theme="1"/>
      <name val="Calibri"/>
      <family val="2"/>
      <scheme val="minor"/>
    </font>
    <font>
      <sz val="11"/>
      <color rgb="FF9C5700"/>
      <name val="Calibri"/>
      <family val="2"/>
      <scheme val="minor"/>
    </font>
    <font>
      <b/>
      <sz val="11"/>
      <color rgb="FF3F3F3F"/>
      <name val="Calibri"/>
      <family val="2"/>
      <scheme val="minor"/>
    </font>
    <font>
      <b/>
      <sz val="11"/>
      <color theme="1"/>
      <name val="Calibri"/>
      <family val="2"/>
      <scheme val="minor"/>
    </font>
    <font>
      <sz val="11"/>
      <color rgb="FF000000"/>
      <name val="Calibri"/>
      <family val="2"/>
    </font>
    <font>
      <b/>
      <sz val="11"/>
      <color theme="1"/>
      <name val="Calibri"/>
      <family val="2"/>
      <charset val="204"/>
      <scheme val="minor"/>
    </font>
    <font>
      <b/>
      <sz val="12"/>
      <color indexed="9"/>
      <name val="Calibri"/>
      <family val="2"/>
      <scheme val="minor"/>
    </font>
    <font>
      <b/>
      <sz val="11"/>
      <color indexed="8"/>
      <name val="Calibri"/>
      <family val="2"/>
      <scheme val="minor"/>
    </font>
    <font>
      <sz val="10"/>
      <color indexed="9"/>
      <name val="Calibri"/>
      <family val="2"/>
      <scheme val="minor"/>
    </font>
    <font>
      <b/>
      <sz val="14"/>
      <color theme="1"/>
      <name val="Arial Black"/>
      <family val="2"/>
    </font>
    <font>
      <b/>
      <sz val="16"/>
      <color theme="1"/>
      <name val="Arial Black"/>
      <family val="2"/>
    </font>
    <font>
      <b/>
      <sz val="11"/>
      <color theme="5" tint="-0.249977111117893"/>
      <name val="Calibri"/>
      <family val="2"/>
      <scheme val="minor"/>
    </font>
    <font>
      <b/>
      <sz val="11"/>
      <color theme="4" tint="-0.499984740745262"/>
      <name val="Calibri"/>
      <family val="2"/>
      <scheme val="minor"/>
    </font>
    <font>
      <sz val="11"/>
      <color theme="4" tint="-0.499984740745262"/>
      <name val="Calibri"/>
      <family val="2"/>
      <scheme val="minor"/>
    </font>
    <font>
      <sz val="8"/>
      <color theme="4" tint="-0.249977111117893"/>
      <name val="Calibri"/>
      <family val="2"/>
      <scheme val="minor"/>
    </font>
    <font>
      <sz val="11"/>
      <color theme="7" tint="-0.499984740745262"/>
      <name val="Calibri"/>
      <family val="2"/>
      <scheme val="minor"/>
    </font>
    <font>
      <sz val="11"/>
      <color theme="1"/>
      <name val="Times New Roman"/>
      <family val="1"/>
    </font>
    <font>
      <sz val="11"/>
      <color rgb="FF3F3F3F"/>
      <name val="Times New Roman"/>
      <family val="1"/>
    </font>
    <font>
      <b/>
      <sz val="14"/>
      <color theme="1"/>
      <name val="Times New Roman"/>
      <family val="1"/>
    </font>
  </fonts>
  <fills count="16">
    <fill>
      <patternFill patternType="none"/>
    </fill>
    <fill>
      <patternFill patternType="gray125"/>
    </fill>
    <fill>
      <patternFill patternType="solid">
        <fgColor rgb="FFFFEB9C"/>
      </patternFill>
    </fill>
    <fill>
      <patternFill patternType="solid">
        <fgColor rgb="FFF2F2F2"/>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bgColor indexed="64"/>
      </patternFill>
    </fill>
    <fill>
      <patternFill patternType="solid">
        <fgColor theme="5" tint="0.79998168889431442"/>
        <bgColor indexed="64"/>
      </patternFill>
    </fill>
    <fill>
      <patternFill patternType="solid">
        <fgColor theme="9" tint="0.39997558519241921"/>
        <bgColor indexed="24"/>
      </patternFill>
    </fill>
    <fill>
      <patternFill patternType="solid">
        <fgColor theme="2"/>
        <bgColor indexed="24"/>
      </patternFill>
    </fill>
    <fill>
      <patternFill patternType="solid">
        <fgColor theme="2"/>
        <bgColor indexed="7"/>
      </patternFill>
    </fill>
    <fill>
      <patternFill patternType="solid">
        <fgColor theme="2"/>
        <bgColor indexed="64"/>
      </patternFill>
    </fill>
  </fills>
  <borders count="12">
    <border>
      <left/>
      <right/>
      <top/>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cellStyleXfs>
  <cellXfs count="57">
    <xf numFmtId="0" fontId="0" fillId="0" borderId="0" xfId="0"/>
    <xf numFmtId="0" fontId="0" fillId="4" borderId="2" xfId="0" applyFill="1" applyBorder="1"/>
    <xf numFmtId="0" fontId="3" fillId="3" borderId="1" xfId="3"/>
    <xf numFmtId="0" fontId="3" fillId="3" borderId="1" xfId="3" applyNumberFormat="1"/>
    <xf numFmtId="0" fontId="6" fillId="0" borderId="0" xfId="0" applyFont="1"/>
    <xf numFmtId="165" fontId="0" fillId="0" borderId="0" xfId="0" applyNumberFormat="1"/>
    <xf numFmtId="2" fontId="0" fillId="0" borderId="0" xfId="0" applyNumberFormat="1"/>
    <xf numFmtId="164" fontId="0" fillId="0" borderId="0" xfId="0" applyNumberFormat="1"/>
    <xf numFmtId="0" fontId="0" fillId="0" borderId="8" xfId="0" applyBorder="1"/>
    <xf numFmtId="0" fontId="1" fillId="9" borderId="4" xfId="2" applyFont="1" applyFill="1" applyBorder="1"/>
    <xf numFmtId="0" fontId="1" fillId="9" borderId="3" xfId="2" applyFont="1" applyFill="1" applyBorder="1"/>
    <xf numFmtId="0" fontId="10" fillId="0" borderId="0" xfId="0" applyFont="1"/>
    <xf numFmtId="0" fontId="11" fillId="10" borderId="0" xfId="0" applyFont="1" applyFill="1"/>
    <xf numFmtId="0" fontId="2" fillId="2" borderId="9" xfId="2" applyNumberFormat="1" applyBorder="1" applyAlignment="1">
      <alignment horizontal="right" vertical="center"/>
    </xf>
    <xf numFmtId="0" fontId="2" fillId="2" borderId="10" xfId="2" applyNumberFormat="1" applyBorder="1" applyAlignment="1">
      <alignment horizontal="right" vertical="center"/>
    </xf>
    <xf numFmtId="0" fontId="0" fillId="4" borderId="11" xfId="0" applyFill="1" applyBorder="1"/>
    <xf numFmtId="0" fontId="0" fillId="9" borderId="2" xfId="0" applyFill="1" applyBorder="1"/>
    <xf numFmtId="0" fontId="7" fillId="12" borderId="5" xfId="0" applyFont="1" applyFill="1" applyBorder="1" applyAlignment="1">
      <alignment horizontal="left"/>
    </xf>
    <xf numFmtId="0" fontId="9" fillId="12" borderId="5" xfId="0" applyFont="1" applyFill="1" applyBorder="1" applyAlignment="1">
      <alignment horizontal="right"/>
    </xf>
    <xf numFmtId="0" fontId="7" fillId="12" borderId="7" xfId="0" applyFont="1" applyFill="1" applyBorder="1" applyAlignment="1">
      <alignment horizontal="left"/>
    </xf>
    <xf numFmtId="0" fontId="9" fillId="12" borderId="7" xfId="0" applyFont="1" applyFill="1" applyBorder="1" applyAlignment="1">
      <alignment horizontal="right"/>
    </xf>
    <xf numFmtId="0" fontId="8" fillId="13" borderId="0" xfId="0" applyFont="1" applyFill="1" applyAlignment="1">
      <alignment horizontal="left"/>
    </xf>
    <xf numFmtId="0" fontId="8" fillId="13" borderId="6" xfId="0" applyFont="1" applyFill="1" applyBorder="1" applyAlignment="1">
      <alignment horizontal="left"/>
    </xf>
    <xf numFmtId="0" fontId="12" fillId="13" borderId="8" xfId="0" applyFont="1" applyFill="1" applyBorder="1" applyAlignment="1">
      <alignment horizontal="left"/>
    </xf>
    <xf numFmtId="0" fontId="13" fillId="13" borderId="0" xfId="0" applyFont="1" applyFill="1" applyAlignment="1">
      <alignment horizontal="left"/>
    </xf>
    <xf numFmtId="0" fontId="14" fillId="0" borderId="0" xfId="0" applyFont="1"/>
    <xf numFmtId="0" fontId="14" fillId="14" borderId="0" xfId="0" applyFont="1" applyFill="1"/>
    <xf numFmtId="0" fontId="13" fillId="13" borderId="8" xfId="0" applyFont="1" applyFill="1" applyBorder="1" applyAlignment="1">
      <alignment horizontal="left"/>
    </xf>
    <xf numFmtId="0" fontId="14" fillId="0" borderId="8" xfId="0" applyFont="1" applyBorder="1"/>
    <xf numFmtId="0" fontId="13" fillId="13" borderId="6" xfId="0" applyFont="1" applyFill="1" applyBorder="1" applyAlignment="1">
      <alignment horizontal="left"/>
    </xf>
    <xf numFmtId="0" fontId="14" fillId="0" borderId="6" xfId="0" applyFont="1" applyBorder="1"/>
    <xf numFmtId="0" fontId="15" fillId="0" borderId="0" xfId="0" applyFont="1" applyAlignment="1">
      <alignment vertical="top" wrapText="1"/>
    </xf>
    <xf numFmtId="0" fontId="16" fillId="0" borderId="0" xfId="0" applyFont="1"/>
    <xf numFmtId="0" fontId="6" fillId="0" borderId="2" xfId="0" applyFont="1" applyBorder="1"/>
    <xf numFmtId="0" fontId="0" fillId="0" borderId="2" xfId="0" applyBorder="1"/>
    <xf numFmtId="9" fontId="0" fillId="5" borderId="2" xfId="0" applyNumberFormat="1" applyFill="1" applyBorder="1"/>
    <xf numFmtId="164" fontId="0" fillId="5" borderId="2" xfId="0" applyNumberFormat="1" applyFill="1" applyBorder="1"/>
    <xf numFmtId="0" fontId="0" fillId="6" borderId="2" xfId="0" applyFill="1" applyBorder="1"/>
    <xf numFmtId="0" fontId="0" fillId="7" borderId="2" xfId="0" applyFill="1" applyBorder="1"/>
    <xf numFmtId="165" fontId="0" fillId="0" borderId="2" xfId="0" applyNumberFormat="1" applyBorder="1"/>
    <xf numFmtId="164" fontId="0" fillId="8" borderId="2" xfId="0" applyNumberFormat="1" applyFill="1" applyBorder="1"/>
    <xf numFmtId="2" fontId="0" fillId="0" borderId="2" xfId="0" applyNumberFormat="1" applyBorder="1"/>
    <xf numFmtId="166" fontId="0" fillId="0" borderId="2" xfId="1" applyNumberFormat="1" applyFont="1" applyBorder="1"/>
    <xf numFmtId="166" fontId="0" fillId="8" borderId="2" xfId="1" applyNumberFormat="1" applyFont="1" applyFill="1" applyBorder="1"/>
    <xf numFmtId="166" fontId="0" fillId="0" borderId="2" xfId="1" applyNumberFormat="1" applyFont="1" applyFill="1" applyBorder="1"/>
    <xf numFmtId="0" fontId="6" fillId="15" borderId="0" xfId="0" applyFont="1" applyFill="1" applyAlignment="1">
      <alignment horizontal="centerContinuous"/>
    </xf>
    <xf numFmtId="0" fontId="4" fillId="15" borderId="0" xfId="0" applyFont="1" applyFill="1" applyAlignment="1">
      <alignment horizontal="centerContinuous"/>
    </xf>
    <xf numFmtId="0" fontId="0" fillId="15" borderId="0" xfId="0" applyFill="1" applyAlignment="1">
      <alignment horizontal="centerContinuous"/>
    </xf>
    <xf numFmtId="164" fontId="0" fillId="15" borderId="0" xfId="0" applyNumberFormat="1" applyFill="1" applyAlignment="1">
      <alignment horizontal="centerContinuous"/>
    </xf>
    <xf numFmtId="0" fontId="17" fillId="0" borderId="0" xfId="0" applyFont="1"/>
    <xf numFmtId="0" fontId="18" fillId="9" borderId="1" xfId="3" applyFont="1" applyFill="1"/>
    <xf numFmtId="0" fontId="17" fillId="9" borderId="2" xfId="0" applyFont="1" applyFill="1" applyBorder="1"/>
    <xf numFmtId="0" fontId="19" fillId="0" borderId="0" xfId="0" applyFont="1"/>
    <xf numFmtId="0" fontId="17" fillId="11" borderId="2" xfId="0" applyFont="1" applyFill="1" applyBorder="1"/>
    <xf numFmtId="9" fontId="17" fillId="11" borderId="2" xfId="1" applyFont="1" applyFill="1" applyBorder="1"/>
    <xf numFmtId="0" fontId="17" fillId="6" borderId="2" xfId="0" applyFont="1" applyFill="1" applyBorder="1"/>
    <xf numFmtId="0" fontId="19" fillId="0" borderId="7" xfId="0" applyFont="1" applyBorder="1" applyAlignment="1">
      <alignment horizontal="center"/>
    </xf>
  </cellXfs>
  <cellStyles count="4">
    <cellStyle name="Neutral" xfId="2" builtinId="28"/>
    <cellStyle name="Normal" xfId="0" builtinId="0"/>
    <cellStyle name="Output" xfId="3" builtinId="21"/>
    <cellStyle name="Percent" xfId="1" builtinId="5"/>
  </cellStyles>
  <dxfs count="4">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externalLink" Target="externalLinks/externalLink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FI"/>
              <a:t>Profitability</a:t>
            </a:r>
            <a:endParaRPr lang="en-US"/>
          </a:p>
        </c:rich>
      </c:tx>
      <c:layout>
        <c:manualLayout>
          <c:xMode val="edge"/>
          <c:yMode val="edge"/>
          <c:x val="0.4682455409221235"/>
          <c:y val="3.1078598673327219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FI"/>
        </a:p>
      </c:txPr>
    </c:title>
    <c:autoTitleDeleted val="0"/>
    <c:plotArea>
      <c:layout/>
      <c:barChart>
        <c:barDir val="col"/>
        <c:grouping val="clustered"/>
        <c:varyColors val="0"/>
        <c:ser>
          <c:idx val="1"/>
          <c:order val="1"/>
          <c:tx>
            <c:strRef>
              <c:f>Calculation!$A$13</c:f>
              <c:strCache>
                <c:ptCount val="1"/>
                <c:pt idx="0">
                  <c:v>CF</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val>
            <c:numRef>
              <c:f>Calculation!$B$13:$O$13</c:f>
              <c:numCache>
                <c:formatCode>General</c:formatCode>
                <c:ptCount val="14"/>
                <c:pt idx="0">
                  <c:v>-5000000</c:v>
                </c:pt>
                <c:pt idx="1">
                  <c:v>-5000000</c:v>
                </c:pt>
                <c:pt idx="2">
                  <c:v>2281923.076923077</c:v>
                </c:pt>
                <c:pt idx="3">
                  <c:v>2281923.076923077</c:v>
                </c:pt>
                <c:pt idx="4">
                  <c:v>2281923.076923077</c:v>
                </c:pt>
                <c:pt idx="5">
                  <c:v>3406923.076923077</c:v>
                </c:pt>
                <c:pt idx="6">
                  <c:v>3406923.076923077</c:v>
                </c:pt>
                <c:pt idx="7">
                  <c:v>3451923.076923077</c:v>
                </c:pt>
                <c:pt idx="8">
                  <c:v>3451923.076923077</c:v>
                </c:pt>
                <c:pt idx="9">
                  <c:v>3496923.076923077</c:v>
                </c:pt>
                <c:pt idx="10">
                  <c:v>3496923.076923077</c:v>
                </c:pt>
                <c:pt idx="11">
                  <c:v>3496923.076923077</c:v>
                </c:pt>
                <c:pt idx="12">
                  <c:v>3496923.076923077</c:v>
                </c:pt>
                <c:pt idx="13">
                  <c:v>4266153.846153846</c:v>
                </c:pt>
              </c:numCache>
            </c:numRef>
          </c:val>
          <c:extLst>
            <c:ext xmlns:c16="http://schemas.microsoft.com/office/drawing/2014/chart" uri="{C3380CC4-5D6E-409C-BE32-E72D297353CC}">
              <c16:uniqueId val="{00000000-B72F-4320-B495-BE04B108C086}"/>
            </c:ext>
          </c:extLst>
        </c:ser>
        <c:dLbls>
          <c:showLegendKey val="0"/>
          <c:showVal val="0"/>
          <c:showCatName val="0"/>
          <c:showSerName val="0"/>
          <c:showPercent val="0"/>
          <c:showBubbleSize val="0"/>
        </c:dLbls>
        <c:gapWidth val="219"/>
        <c:axId val="718620016"/>
        <c:axId val="718620344"/>
        <c:extLst>
          <c:ext xmlns:c15="http://schemas.microsoft.com/office/drawing/2012/chart" uri="{02D57815-91ED-43cb-92C2-25804820EDAC}">
            <c15:filteredBarSeries>
              <c15:ser>
                <c:idx val="0"/>
                <c:order val="0"/>
                <c:tx>
                  <c:strRef>
                    <c:extLst>
                      <c:ext uri="{02D57815-91ED-43cb-92C2-25804820EDAC}">
                        <c15:formulaRef>
                          <c15:sqref>Calculation!$A$2</c15:sqref>
                        </c15:formulaRef>
                      </c:ext>
                    </c:extLst>
                    <c:strCache>
                      <c:ptCount val="1"/>
                      <c:pt idx="0">
                        <c:v>Years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val>
                  <c:numRef>
                    <c:extLst>
                      <c:ext uri="{02D57815-91ED-43cb-92C2-25804820EDAC}">
                        <c15:formulaRef>
                          <c15:sqref>Calculation!$B$2:$O$2</c15:sqref>
                        </c15:formulaRef>
                      </c:ext>
                    </c:extLst>
                    <c:numCache>
                      <c:formatCode>General</c:formatCode>
                      <c:ptCount val="14"/>
                      <c:pt idx="0">
                        <c:v>0</c:v>
                      </c:pt>
                      <c:pt idx="1">
                        <c:v>1</c:v>
                      </c:pt>
                      <c:pt idx="2">
                        <c:v>2</c:v>
                      </c:pt>
                      <c:pt idx="3">
                        <c:v>3</c:v>
                      </c:pt>
                      <c:pt idx="4">
                        <c:v>4</c:v>
                      </c:pt>
                      <c:pt idx="5">
                        <c:v>5</c:v>
                      </c:pt>
                      <c:pt idx="6">
                        <c:v>6</c:v>
                      </c:pt>
                      <c:pt idx="7">
                        <c:v>7</c:v>
                      </c:pt>
                      <c:pt idx="8">
                        <c:v>8</c:v>
                      </c:pt>
                      <c:pt idx="9">
                        <c:v>9</c:v>
                      </c:pt>
                      <c:pt idx="10">
                        <c:v>10</c:v>
                      </c:pt>
                      <c:pt idx="11">
                        <c:v>11</c:v>
                      </c:pt>
                      <c:pt idx="12">
                        <c:v>12</c:v>
                      </c:pt>
                      <c:pt idx="13">
                        <c:v>13</c:v>
                      </c:pt>
                    </c:numCache>
                  </c:numRef>
                </c:val>
                <c:extLst>
                  <c:ext xmlns:c16="http://schemas.microsoft.com/office/drawing/2014/chart" uri="{C3380CC4-5D6E-409C-BE32-E72D297353CC}">
                    <c16:uniqueId val="{00000002-B72F-4320-B495-BE04B108C086}"/>
                  </c:ext>
                </c:extLst>
              </c15:ser>
            </c15:filteredBarSeries>
          </c:ext>
        </c:extLst>
      </c:barChart>
      <c:lineChart>
        <c:grouping val="standard"/>
        <c:varyColors val="0"/>
        <c:ser>
          <c:idx val="2"/>
          <c:order val="2"/>
          <c:tx>
            <c:strRef>
              <c:f>Calculation!$A$15</c:f>
              <c:strCache>
                <c:ptCount val="1"/>
                <c:pt idx="0">
                  <c:v>Cum DCF</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val>
            <c:numRef>
              <c:f>Calculation!$B$15:$O$15</c:f>
              <c:numCache>
                <c:formatCode>General</c:formatCode>
                <c:ptCount val="14"/>
                <c:pt idx="0">
                  <c:v>-5000000</c:v>
                </c:pt>
                <c:pt idx="1">
                  <c:v>-9818181.8181818184</c:v>
                </c:pt>
                <c:pt idx="2">
                  <c:v>-7699199.3642720915</c:v>
                </c:pt>
                <c:pt idx="3">
                  <c:v>-5657270.8177772639</c:v>
                </c:pt>
                <c:pt idx="4">
                  <c:v>-3689594.2184277033</c:v>
                </c:pt>
                <c:pt idx="5">
                  <c:v>-858670.09969875822</c:v>
                </c:pt>
                <c:pt idx="6">
                  <c:v>1869311.3238036796</c:v>
                </c:pt>
                <c:pt idx="7">
                  <c:v>4532815.4261549637</c:v>
                </c:pt>
                <c:pt idx="8">
                  <c:v>7099464.833875292</c:v>
                </c:pt>
                <c:pt idx="9">
                  <c:v>9605024.2159864902</c:v>
                </c:pt>
                <c:pt idx="10">
                  <c:v>12019472.3478391</c:v>
                </c:pt>
                <c:pt idx="11">
                  <c:v>14346122.36580616</c:v>
                </c:pt>
                <c:pt idx="12">
                  <c:v>16588166.928574419</c:v>
                </c:pt>
                <c:pt idx="13">
                  <c:v>19223939.014687989</c:v>
                </c:pt>
              </c:numCache>
            </c:numRef>
          </c:val>
          <c:smooth val="0"/>
          <c:extLst>
            <c:ext xmlns:c16="http://schemas.microsoft.com/office/drawing/2014/chart" uri="{C3380CC4-5D6E-409C-BE32-E72D297353CC}">
              <c16:uniqueId val="{00000001-B72F-4320-B495-BE04B108C086}"/>
            </c:ext>
          </c:extLst>
        </c:ser>
        <c:dLbls>
          <c:showLegendKey val="0"/>
          <c:showVal val="0"/>
          <c:showCatName val="0"/>
          <c:showSerName val="0"/>
          <c:showPercent val="0"/>
          <c:showBubbleSize val="0"/>
        </c:dLbls>
        <c:marker val="1"/>
        <c:smooth val="0"/>
        <c:axId val="718620016"/>
        <c:axId val="718620344"/>
      </c:lineChart>
      <c:scatterChart>
        <c:scatterStyle val="lineMarker"/>
        <c:varyColors val="0"/>
        <c:ser>
          <c:idx val="3"/>
          <c:order val="3"/>
          <c:tx>
            <c:strRef>
              <c:f>Output!$I$2</c:f>
              <c:strCache>
                <c:ptCount val="1"/>
                <c:pt idx="0">
                  <c:v>19223939,01</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yVal>
            <c:numLit>
              <c:formatCode>General</c:formatCode>
              <c:ptCount val="1"/>
              <c:pt idx="0">
                <c:v>1</c:v>
              </c:pt>
            </c:numLit>
          </c:yVal>
          <c:smooth val="0"/>
          <c:extLst>
            <c:ext xmlns:c16="http://schemas.microsoft.com/office/drawing/2014/chart" uri="{C3380CC4-5D6E-409C-BE32-E72D297353CC}">
              <c16:uniqueId val="{00000004-B72F-4320-B495-BE04B108C086}"/>
            </c:ext>
          </c:extLst>
        </c:ser>
        <c:dLbls>
          <c:showLegendKey val="0"/>
          <c:showVal val="0"/>
          <c:showCatName val="0"/>
          <c:showSerName val="0"/>
          <c:showPercent val="0"/>
          <c:showBubbleSize val="0"/>
        </c:dLbls>
        <c:axId val="673181048"/>
        <c:axId val="673178752"/>
      </c:scatterChart>
      <c:catAx>
        <c:axId val="7186200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FI"/>
          </a:p>
        </c:txPr>
        <c:crossAx val="718620344"/>
        <c:crosses val="autoZero"/>
        <c:auto val="1"/>
        <c:lblAlgn val="ctr"/>
        <c:lblOffset val="100"/>
        <c:noMultiLvlLbl val="0"/>
      </c:catAx>
      <c:valAx>
        <c:axId val="7186203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FI"/>
          </a:p>
        </c:txPr>
        <c:crossAx val="718620016"/>
        <c:crosses val="autoZero"/>
        <c:crossBetween val="between"/>
      </c:valAx>
      <c:valAx>
        <c:axId val="673178752"/>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FI"/>
          </a:p>
        </c:txPr>
        <c:crossAx val="673181048"/>
        <c:crosses val="max"/>
        <c:crossBetween val="midCat"/>
      </c:valAx>
      <c:valAx>
        <c:axId val="673181048"/>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FI"/>
          </a:p>
        </c:txPr>
        <c:crossAx val="673178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FI"/>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fi-FI"/>
              <a:t>NPV</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FI"/>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'Sensitivity Analysis'!$A$3</c:f>
              <c:strCache>
                <c:ptCount val="1"/>
                <c:pt idx="0">
                  <c:v>Corporate tax</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Analysis'!$C$3:$M$3</c:f>
              <c:numCache>
                <c:formatCode>0.0</c:formatCode>
                <c:ptCount val="11"/>
                <c:pt idx="0">
                  <c:v>5745806.3837568462</c:v>
                </c:pt>
                <c:pt idx="1">
                  <c:v>5547432.1164051574</c:v>
                </c:pt>
                <c:pt idx="2">
                  <c:v>5349057.849053476</c:v>
                </c:pt>
                <c:pt idx="3">
                  <c:v>5150683.5817017909</c:v>
                </c:pt>
                <c:pt idx="4">
                  <c:v>4952309.314350104</c:v>
                </c:pt>
                <c:pt idx="5" formatCode="_-[$$-409]* #\ ##0.00_ ;_-[$$-409]* \-#\ ##0.00\ ;_-[$$-409]* &quot;-&quot;??_ ;_-@_ ">
                  <c:v>19223939.014688</c:v>
                </c:pt>
                <c:pt idx="6">
                  <c:v>4555560.7796467338</c:v>
                </c:pt>
                <c:pt idx="7">
                  <c:v>4357186.5122950505</c:v>
                </c:pt>
                <c:pt idx="8">
                  <c:v>4158812.2449433655</c:v>
                </c:pt>
                <c:pt idx="9">
                  <c:v>3960437.9775916822</c:v>
                </c:pt>
                <c:pt idx="10" formatCode="General">
                  <c:v>3762063.7102399971</c:v>
                </c:pt>
              </c:numCache>
            </c:numRef>
          </c:val>
          <c:smooth val="0"/>
          <c:extLst>
            <c:ext xmlns:c16="http://schemas.microsoft.com/office/drawing/2014/chart" uri="{C3380CC4-5D6E-409C-BE32-E72D297353CC}">
              <c16:uniqueId val="{00000000-C4B8-4C5A-8D38-7F4C167B78AE}"/>
            </c:ext>
          </c:extLst>
        </c:ser>
        <c:ser>
          <c:idx val="0"/>
          <c:order val="1"/>
          <c:tx>
            <c:strRef>
              <c:f>'Sensitivity Analysis'!$A$4</c:f>
              <c:strCache>
                <c:ptCount val="1"/>
                <c:pt idx="0">
                  <c:v>Discount rate-real</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Analysis'!$C$4:$M$4</c:f>
              <c:numCache>
                <c:formatCode>0.0</c:formatCode>
                <c:ptCount val="11"/>
                <c:pt idx="0">
                  <c:v>8020361.1445066631</c:v>
                </c:pt>
                <c:pt idx="1">
                  <c:v>7288892.3352164011</c:v>
                </c:pt>
                <c:pt idx="2">
                  <c:v>6599146.4628716316</c:v>
                </c:pt>
                <c:pt idx="3">
                  <c:v>5948394.2429257222</c:v>
                </c:pt>
                <c:pt idx="4">
                  <c:v>5334105.8653927799</c:v>
                </c:pt>
                <c:pt idx="5" formatCode="_-[$$-409]* #\ ##0.00_ ;_-[$$-409]* \-#\ ##0.00\ ;_-[$$-409]* &quot;-&quot;??_ ;_-@_ ">
                  <c:v>19223939.014688</c:v>
                </c:pt>
                <c:pt idx="6">
                  <c:v>4205704.4584616553</c:v>
                </c:pt>
                <c:pt idx="7">
                  <c:v>3687392.4002709929</c:v>
                </c:pt>
                <c:pt idx="8">
                  <c:v>3197120.6126844473</c:v>
                </c:pt>
                <c:pt idx="9">
                  <c:v>2733143.1167760901</c:v>
                </c:pt>
                <c:pt idx="10">
                  <c:v>2293835.9933087677</c:v>
                </c:pt>
              </c:numCache>
            </c:numRef>
          </c:val>
          <c:smooth val="0"/>
          <c:extLst>
            <c:ext xmlns:c16="http://schemas.microsoft.com/office/drawing/2014/chart" uri="{C3380CC4-5D6E-409C-BE32-E72D297353CC}">
              <c16:uniqueId val="{00000001-C4B8-4C5A-8D38-7F4C167B78AE}"/>
            </c:ext>
          </c:extLst>
        </c:ser>
        <c:ser>
          <c:idx val="2"/>
          <c:order val="2"/>
          <c:tx>
            <c:strRef>
              <c:f>'Sensitivity Analysis'!$A$5</c:f>
              <c:strCache>
                <c:ptCount val="1"/>
                <c:pt idx="0">
                  <c:v>Inflation rate</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Analysis'!$C$5:$M$5</c:f>
              <c:numCache>
                <c:formatCode>0.0</c:formatCode>
                <c:ptCount val="11"/>
                <c:pt idx="0">
                  <c:v>2918098.1015942656</c:v>
                </c:pt>
                <c:pt idx="1">
                  <c:v>3261934.9499691287</c:v>
                </c:pt>
                <c:pt idx="2">
                  <c:v>3617068.7084188275</c:v>
                </c:pt>
                <c:pt idx="3">
                  <c:v>3983862.0132023059</c:v>
                </c:pt>
                <c:pt idx="4">
                  <c:v>4362688.8812780511</c:v>
                </c:pt>
                <c:pt idx="5" formatCode="_-[$$-409]* #\ ##0.00_ ;_-[$$-409]* \-#\ ##0.00\ ;_-[$$-409]* &quot;-&quot;??_ ;_-@_ ">
                  <c:v>19223939.014688</c:v>
                </c:pt>
                <c:pt idx="6">
                  <c:v>5157998.3079355974</c:v>
                </c:pt>
                <c:pt idx="7">
                  <c:v>5575288.8800604604</c:v>
                </c:pt>
                <c:pt idx="8">
                  <c:v>6006229.7625002619</c:v>
                </c:pt>
                <c:pt idx="9">
                  <c:v>6451257.1121058725</c:v>
                </c:pt>
                <c:pt idx="10">
                  <c:v>6910820.6280643996</c:v>
                </c:pt>
              </c:numCache>
            </c:numRef>
          </c:val>
          <c:smooth val="0"/>
          <c:extLst>
            <c:ext xmlns:c16="http://schemas.microsoft.com/office/drawing/2014/chart" uri="{C3380CC4-5D6E-409C-BE32-E72D297353CC}">
              <c16:uniqueId val="{00000002-C4B8-4C5A-8D38-7F4C167B78AE}"/>
            </c:ext>
          </c:extLst>
        </c:ser>
        <c:ser>
          <c:idx val="3"/>
          <c:order val="3"/>
          <c:tx>
            <c:strRef>
              <c:f>'Sensitivity Analysis'!$A$6</c:f>
              <c:strCache>
                <c:ptCount val="1"/>
                <c:pt idx="0">
                  <c:v>Working capital investment</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Analysis'!$C$6:$M$6</c:f>
              <c:numCache>
                <c:formatCode>0.0</c:formatCode>
                <c:ptCount val="11"/>
                <c:pt idx="0">
                  <c:v>4779962.734808417</c:v>
                </c:pt>
                <c:pt idx="1">
                  <c:v>4774757.1972464193</c:v>
                </c:pt>
                <c:pt idx="2">
                  <c:v>4769551.6596844178</c:v>
                </c:pt>
                <c:pt idx="3">
                  <c:v>4764346.1221224181</c:v>
                </c:pt>
                <c:pt idx="4">
                  <c:v>4759140.5845604185</c:v>
                </c:pt>
                <c:pt idx="5" formatCode="_-[$$-409]* #\ ##0.00_ ;_-[$$-409]* \-#\ ##0.00\ ;_-[$$-409]* &quot;-&quot;??_ ;_-@_ ">
                  <c:v>19223939.014688</c:v>
                </c:pt>
                <c:pt idx="6">
                  <c:v>4748729.5094364192</c:v>
                </c:pt>
                <c:pt idx="7">
                  <c:v>4743523.9718744177</c:v>
                </c:pt>
                <c:pt idx="8">
                  <c:v>4738318.4343124181</c:v>
                </c:pt>
                <c:pt idx="9">
                  <c:v>4733112.8967504203</c:v>
                </c:pt>
                <c:pt idx="10">
                  <c:v>4727907.3591884188</c:v>
                </c:pt>
              </c:numCache>
            </c:numRef>
          </c:val>
          <c:smooth val="0"/>
          <c:extLst>
            <c:ext xmlns:c16="http://schemas.microsoft.com/office/drawing/2014/chart" uri="{C3380CC4-5D6E-409C-BE32-E72D297353CC}">
              <c16:uniqueId val="{00000003-C4B8-4C5A-8D38-7F4C167B78AE}"/>
            </c:ext>
          </c:extLst>
        </c:ser>
        <c:ser>
          <c:idx val="4"/>
          <c:order val="4"/>
          <c:tx>
            <c:strRef>
              <c:f>'Sensitivity Analysis'!$A$7</c:f>
              <c:strCache>
                <c:ptCount val="1"/>
                <c:pt idx="0">
                  <c:v>Units/year after 3 years</c:v>
                </c:pt>
              </c:strCache>
            </c:strRef>
          </c:tx>
          <c:spPr>
            <a:ln w="22225" cap="rnd">
              <a:solidFill>
                <a:schemeClr val="accent5"/>
              </a:solidFill>
            </a:ln>
            <a:effectLst>
              <a:glow rad="139700">
                <a:schemeClr val="accent5">
                  <a:satMod val="175000"/>
                  <a:alpha val="14000"/>
                </a:schemeClr>
              </a:glow>
            </a:effectLst>
          </c:spPr>
          <c:marker>
            <c:symbol val="none"/>
          </c:marker>
          <c:dPt>
            <c:idx val="5"/>
            <c:marker>
              <c:symbol val="none"/>
            </c:marker>
            <c:bubble3D val="0"/>
            <c:extLst>
              <c:ext xmlns:c16="http://schemas.microsoft.com/office/drawing/2014/chart" uri="{C3380CC4-5D6E-409C-BE32-E72D297353CC}">
                <c16:uniqueId val="{00000004-C4B8-4C5A-8D38-7F4C167B78AE}"/>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Analysis'!$C$7:$M$7</c:f>
              <c:numCache>
                <c:formatCode>0.0</c:formatCode>
                <c:ptCount val="11"/>
                <c:pt idx="0">
                  <c:v>-186844.73423161171</c:v>
                </c:pt>
                <c:pt idx="1">
                  <c:v>801311.22201439459</c:v>
                </c:pt>
                <c:pt idx="2">
                  <c:v>1789467.178260399</c:v>
                </c:pt>
                <c:pt idx="3">
                  <c:v>2777623.1345064053</c:v>
                </c:pt>
                <c:pt idx="4">
                  <c:v>3765779.0907524116</c:v>
                </c:pt>
                <c:pt idx="5" formatCode="_-[$$-409]* #\ ##0.00_ ;_-[$$-409]* \-#\ ##0.00\ ;_-[$$-409]* &quot;-&quot;??_ ;_-@_ ">
                  <c:v>19223939.014688</c:v>
                </c:pt>
                <c:pt idx="6">
                  <c:v>5742091.0032444224</c:v>
                </c:pt>
                <c:pt idx="7">
                  <c:v>6730246.9594904259</c:v>
                </c:pt>
                <c:pt idx="8">
                  <c:v>7718402.915736435</c:v>
                </c:pt>
                <c:pt idx="9">
                  <c:v>8706558.8719824441</c:v>
                </c:pt>
                <c:pt idx="10">
                  <c:v>9694714.8282284476</c:v>
                </c:pt>
              </c:numCache>
            </c:numRef>
          </c:val>
          <c:smooth val="0"/>
          <c:extLst>
            <c:ext xmlns:c16="http://schemas.microsoft.com/office/drawing/2014/chart" uri="{C3380CC4-5D6E-409C-BE32-E72D297353CC}">
              <c16:uniqueId val="{00000005-C4B8-4C5A-8D38-7F4C167B78AE}"/>
            </c:ext>
          </c:extLst>
        </c:ser>
        <c:dLbls>
          <c:dLblPos val="ctr"/>
          <c:showLegendKey val="0"/>
          <c:showVal val="1"/>
          <c:showCatName val="0"/>
          <c:showSerName val="0"/>
          <c:showPercent val="0"/>
          <c:showBubbleSize val="0"/>
        </c:dLbls>
        <c:smooth val="0"/>
        <c:axId val="267769344"/>
        <c:axId val="267770520"/>
      </c:lineChart>
      <c:catAx>
        <c:axId val="2677693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FI"/>
          </a:p>
        </c:txPr>
        <c:crossAx val="267770520"/>
        <c:crossesAt val="-100000000"/>
        <c:auto val="1"/>
        <c:lblAlgn val="ctr"/>
        <c:lblOffset val="100"/>
        <c:noMultiLvlLbl val="0"/>
      </c:catAx>
      <c:valAx>
        <c:axId val="26777052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FI"/>
          </a:p>
        </c:txPr>
        <c:crossAx val="267769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FI"/>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F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'[1]Sensitivity analysis'!$O$1</c:f>
          <c:strCache>
            <c:ptCount val="1"/>
            <c:pt idx="0">
              <c:v>Profitability index</c:v>
            </c:pt>
          </c:strCache>
        </c:strRef>
      </c:tx>
      <c:layout>
        <c:manualLayout>
          <c:xMode val="edge"/>
          <c:yMode val="edge"/>
          <c:x val="0.41489911987705291"/>
          <c:y val="2.777777777777777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FI"/>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'Sensitivity Analysis'!$A$3</c:f>
              <c:strCache>
                <c:ptCount val="1"/>
                <c:pt idx="0">
                  <c:v>Corporate tax</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Analysis'!$O$3:$Y$3</c:f>
              <c:numCache>
                <c:formatCode>0.0%</c:formatCode>
                <c:ptCount val="11"/>
                <c:pt idx="0">
                  <c:v>1.5745806383756846</c:v>
                </c:pt>
                <c:pt idx="1">
                  <c:v>1.5547432116405158</c:v>
                </c:pt>
                <c:pt idx="2">
                  <c:v>1.5349057849053476</c:v>
                </c:pt>
                <c:pt idx="3">
                  <c:v>1.5150683581701792</c:v>
                </c:pt>
                <c:pt idx="4">
                  <c:v>1.4952309314350103</c:v>
                </c:pt>
                <c:pt idx="5">
                  <c:v>2.9223939014688001</c:v>
                </c:pt>
                <c:pt idx="6">
                  <c:v>1.4555560779646735</c:v>
                </c:pt>
                <c:pt idx="7">
                  <c:v>1.435718651229505</c:v>
                </c:pt>
                <c:pt idx="8">
                  <c:v>1.4158812244943366</c:v>
                </c:pt>
                <c:pt idx="9">
                  <c:v>1.3960437977591682</c:v>
                </c:pt>
                <c:pt idx="10">
                  <c:v>1.3762063710239998</c:v>
                </c:pt>
              </c:numCache>
            </c:numRef>
          </c:val>
          <c:smooth val="0"/>
          <c:extLst>
            <c:ext xmlns:c16="http://schemas.microsoft.com/office/drawing/2014/chart" uri="{C3380CC4-5D6E-409C-BE32-E72D297353CC}">
              <c16:uniqueId val="{00000000-736D-4227-ABBC-C0061F45DDDB}"/>
            </c:ext>
          </c:extLst>
        </c:ser>
        <c:ser>
          <c:idx val="3"/>
          <c:order val="1"/>
          <c:tx>
            <c:strRef>
              <c:f>'Sensitivity Analysis'!$A$4</c:f>
              <c:strCache>
                <c:ptCount val="1"/>
                <c:pt idx="0">
                  <c:v>Discount rate-real</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Analysis'!$O$4:$Y$4</c:f>
              <c:numCache>
                <c:formatCode>0.0%</c:formatCode>
                <c:ptCount val="11"/>
                <c:pt idx="0">
                  <c:v>1.8020361144506665</c:v>
                </c:pt>
                <c:pt idx="1">
                  <c:v>1.7288892335216401</c:v>
                </c:pt>
                <c:pt idx="2">
                  <c:v>1.659914646287163</c:v>
                </c:pt>
                <c:pt idx="3">
                  <c:v>1.5948394242925721</c:v>
                </c:pt>
                <c:pt idx="4">
                  <c:v>1.533410586539278</c:v>
                </c:pt>
                <c:pt idx="5">
                  <c:v>2.9223939014688001</c:v>
                </c:pt>
                <c:pt idx="6">
                  <c:v>1.4205704458461654</c:v>
                </c:pt>
                <c:pt idx="7">
                  <c:v>1.3687392400270992</c:v>
                </c:pt>
                <c:pt idx="8">
                  <c:v>1.3197120612684448</c:v>
                </c:pt>
                <c:pt idx="9">
                  <c:v>1.2733143116776091</c:v>
                </c:pt>
                <c:pt idx="10">
                  <c:v>1.2293835993308768</c:v>
                </c:pt>
              </c:numCache>
            </c:numRef>
          </c:val>
          <c:smooth val="0"/>
          <c:extLst>
            <c:ext xmlns:c16="http://schemas.microsoft.com/office/drawing/2014/chart" uri="{C3380CC4-5D6E-409C-BE32-E72D297353CC}">
              <c16:uniqueId val="{00000001-736D-4227-ABBC-C0061F45DDDB}"/>
            </c:ext>
          </c:extLst>
        </c:ser>
        <c:ser>
          <c:idx val="4"/>
          <c:order val="2"/>
          <c:tx>
            <c:strRef>
              <c:f>'Sensitivity Analysis'!$A$5</c:f>
              <c:strCache>
                <c:ptCount val="1"/>
                <c:pt idx="0">
                  <c:v>Inflation rate</c:v>
                </c:pt>
              </c:strCache>
            </c:strRef>
          </c:tx>
          <c:spPr>
            <a:ln w="31750" cap="rnd">
              <a:solidFill>
                <a:schemeClr val="accent5"/>
              </a:solidFill>
              <a:round/>
            </a:ln>
            <a:effectLst/>
          </c:spPr>
          <c:marker>
            <c:symbol val="circle"/>
            <c:size val="17"/>
            <c:spPr>
              <a:solidFill>
                <a:schemeClr val="accent5"/>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Analysis'!$O$5:$Y$5</c:f>
              <c:numCache>
                <c:formatCode>0.0%</c:formatCode>
                <c:ptCount val="11"/>
                <c:pt idx="0">
                  <c:v>1.2918098101594264</c:v>
                </c:pt>
                <c:pt idx="1">
                  <c:v>1.3261934949969127</c:v>
                </c:pt>
                <c:pt idx="2">
                  <c:v>1.3617068708418827</c:v>
                </c:pt>
                <c:pt idx="3">
                  <c:v>1.3983862013202306</c:v>
                </c:pt>
                <c:pt idx="4">
                  <c:v>1.4362688881278052</c:v>
                </c:pt>
                <c:pt idx="5">
                  <c:v>2.9223939014688001</c:v>
                </c:pt>
                <c:pt idx="6">
                  <c:v>1.5157998307935596</c:v>
                </c:pt>
                <c:pt idx="7">
                  <c:v>1.5575288880060461</c:v>
                </c:pt>
                <c:pt idx="8">
                  <c:v>1.6006229762500261</c:v>
                </c:pt>
                <c:pt idx="9">
                  <c:v>1.6451257112105873</c:v>
                </c:pt>
                <c:pt idx="10">
                  <c:v>1.6910820628064398</c:v>
                </c:pt>
              </c:numCache>
            </c:numRef>
          </c:val>
          <c:smooth val="0"/>
          <c:extLst>
            <c:ext xmlns:c16="http://schemas.microsoft.com/office/drawing/2014/chart" uri="{C3380CC4-5D6E-409C-BE32-E72D297353CC}">
              <c16:uniqueId val="{00000002-736D-4227-ABBC-C0061F45DDDB}"/>
            </c:ext>
          </c:extLst>
        </c:ser>
        <c:ser>
          <c:idx val="5"/>
          <c:order val="3"/>
          <c:tx>
            <c:strRef>
              <c:f>'Sensitivity Analysis'!$A$6</c:f>
              <c:strCache>
                <c:ptCount val="1"/>
                <c:pt idx="0">
                  <c:v>Working capital investment</c:v>
                </c:pt>
              </c:strCache>
            </c:strRef>
          </c:tx>
          <c:spPr>
            <a:ln w="31750" cap="rnd">
              <a:solidFill>
                <a:schemeClr val="accent6"/>
              </a:solidFill>
              <a:round/>
            </a:ln>
            <a:effectLst/>
          </c:spPr>
          <c:marker>
            <c:symbol val="circle"/>
            <c:size val="17"/>
            <c:spPr>
              <a:solidFill>
                <a:schemeClr val="accent6"/>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Analysis'!$O$6:$Y$6</c:f>
              <c:numCache>
                <c:formatCode>0.0%</c:formatCode>
                <c:ptCount val="11"/>
                <c:pt idx="0">
                  <c:v>1.4779962734808416</c:v>
                </c:pt>
                <c:pt idx="1">
                  <c:v>1.477475719724642</c:v>
                </c:pt>
                <c:pt idx="2">
                  <c:v>1.4769551659684419</c:v>
                </c:pt>
                <c:pt idx="3">
                  <c:v>1.4764346122122418</c:v>
                </c:pt>
                <c:pt idx="4">
                  <c:v>1.4759140584560417</c:v>
                </c:pt>
                <c:pt idx="5">
                  <c:v>2.9223939014688001</c:v>
                </c:pt>
                <c:pt idx="6">
                  <c:v>1.474872950943642</c:v>
                </c:pt>
                <c:pt idx="7">
                  <c:v>1.4743523971874417</c:v>
                </c:pt>
                <c:pt idx="8">
                  <c:v>1.4738318434312419</c:v>
                </c:pt>
                <c:pt idx="9">
                  <c:v>1.473311289675042</c:v>
                </c:pt>
                <c:pt idx="10">
                  <c:v>1.4727907359188419</c:v>
                </c:pt>
              </c:numCache>
            </c:numRef>
          </c:val>
          <c:smooth val="0"/>
          <c:extLst>
            <c:ext xmlns:c16="http://schemas.microsoft.com/office/drawing/2014/chart" uri="{C3380CC4-5D6E-409C-BE32-E72D297353CC}">
              <c16:uniqueId val="{00000003-736D-4227-ABBC-C0061F45DDDB}"/>
            </c:ext>
          </c:extLst>
        </c:ser>
        <c:ser>
          <c:idx val="6"/>
          <c:order val="4"/>
          <c:tx>
            <c:strRef>
              <c:f>'Sensitivity Analysis'!$A$7</c:f>
              <c:strCache>
                <c:ptCount val="1"/>
                <c:pt idx="0">
                  <c:v>Units/year after 3 years</c:v>
                </c:pt>
              </c:strCache>
            </c:strRef>
          </c:tx>
          <c:spPr>
            <a:ln w="31750" cap="rnd">
              <a:solidFill>
                <a:schemeClr val="accent1">
                  <a:lumMod val="60000"/>
                </a:schemeClr>
              </a:solidFill>
              <a:round/>
            </a:ln>
            <a:effectLst/>
          </c:spPr>
          <c:marker>
            <c:symbol val="circle"/>
            <c:size val="17"/>
            <c:spPr>
              <a:solidFill>
                <a:schemeClr val="accent1">
                  <a:lumMod val="60000"/>
                </a:schemeClr>
              </a:solidFill>
              <a:ln>
                <a:noFill/>
              </a:ln>
              <a:effectLst/>
            </c:spPr>
          </c:marker>
          <c:dPt>
            <c:idx val="5"/>
            <c:marker>
              <c:symbol val="circle"/>
              <c:size val="17"/>
              <c:spPr>
                <a:solidFill>
                  <a:schemeClr val="accent1">
                    <a:lumMod val="60000"/>
                  </a:schemeClr>
                </a:solidFill>
                <a:ln>
                  <a:noFill/>
                </a:ln>
                <a:effectLst/>
              </c:spPr>
            </c:marker>
            <c:bubble3D val="0"/>
            <c:extLst>
              <c:ext xmlns:c16="http://schemas.microsoft.com/office/drawing/2014/chart" uri="{C3380CC4-5D6E-409C-BE32-E72D297353CC}">
                <c16:uniqueId val="{00000004-736D-4227-ABBC-C0061F45DDDB}"/>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'Sensitivity Analysis'!$O$7:$Y$7</c:f>
              <c:numCache>
                <c:formatCode>0.0%</c:formatCode>
                <c:ptCount val="11"/>
                <c:pt idx="0">
                  <c:v>0.98131552657683885</c:v>
                </c:pt>
                <c:pt idx="1">
                  <c:v>1.0801311222014394</c:v>
                </c:pt>
                <c:pt idx="2">
                  <c:v>1.17894671782604</c:v>
                </c:pt>
                <c:pt idx="3">
                  <c:v>1.2777623134506406</c:v>
                </c:pt>
                <c:pt idx="4">
                  <c:v>1.3765779090752412</c:v>
                </c:pt>
                <c:pt idx="5">
                  <c:v>2.9223939014688001</c:v>
                </c:pt>
                <c:pt idx="6">
                  <c:v>1.5742091003244423</c:v>
                </c:pt>
                <c:pt idx="7">
                  <c:v>1.6730246959490427</c:v>
                </c:pt>
                <c:pt idx="8">
                  <c:v>1.7718402915736435</c:v>
                </c:pt>
                <c:pt idx="9">
                  <c:v>1.8706558871982444</c:v>
                </c:pt>
                <c:pt idx="10">
                  <c:v>1.9694714828228448</c:v>
                </c:pt>
              </c:numCache>
            </c:numRef>
          </c:val>
          <c:smooth val="0"/>
          <c:extLst>
            <c:ext xmlns:c16="http://schemas.microsoft.com/office/drawing/2014/chart" uri="{C3380CC4-5D6E-409C-BE32-E72D297353CC}">
              <c16:uniqueId val="{00000005-736D-4227-ABBC-C0061F45DDDB}"/>
            </c:ext>
          </c:extLst>
        </c:ser>
        <c:dLbls>
          <c:dLblPos val="ctr"/>
          <c:showLegendKey val="0"/>
          <c:showVal val="1"/>
          <c:showCatName val="0"/>
          <c:showSerName val="0"/>
          <c:showPercent val="0"/>
          <c:showBubbleSize val="0"/>
        </c:dLbls>
        <c:marker val="1"/>
        <c:smooth val="0"/>
        <c:axId val="267771304"/>
        <c:axId val="267771696"/>
      </c:lineChart>
      <c:catAx>
        <c:axId val="267771304"/>
        <c:scaling>
          <c:orientation val="minMax"/>
        </c:scaling>
        <c:delete val="0"/>
        <c:axPos val="b"/>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FI"/>
          </a:p>
        </c:txPr>
        <c:crossAx val="267771696"/>
        <c:crossesAt val="-100000000"/>
        <c:auto val="1"/>
        <c:lblAlgn val="ctr"/>
        <c:lblOffset val="100"/>
        <c:noMultiLvlLbl val="0"/>
      </c:catAx>
      <c:valAx>
        <c:axId val="26777169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67771304"/>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FI"/>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FI"/>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fi-FI"/>
              <a:t>NPV</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FI"/>
        </a:p>
      </c:txPr>
    </c:title>
    <c:autoTitleDeleted val="0"/>
    <c:plotArea>
      <c:layout>
        <c:manualLayout>
          <c:layoutTarget val="inner"/>
          <c:xMode val="edge"/>
          <c:yMode val="edge"/>
          <c:x val="7.2289816345974839E-2"/>
          <c:y val="0.1162153689122193"/>
          <c:w val="0.91787478234205422"/>
          <c:h val="0.77219889180519097"/>
        </c:manualLayout>
      </c:layout>
      <c:lineChart>
        <c:grouping val="standard"/>
        <c:varyColors val="0"/>
        <c:ser>
          <c:idx val="1"/>
          <c:order val="0"/>
          <c:tx>
            <c:strRef>
              <c:f>'Sensitivity Analysis'!$A$3</c:f>
              <c:strCache>
                <c:ptCount val="1"/>
                <c:pt idx="0">
                  <c:v>Corporate tax</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Analysis'!$C$3:$M$3</c:f>
              <c:numCache>
                <c:formatCode>0.0</c:formatCode>
                <c:ptCount val="11"/>
                <c:pt idx="0">
                  <c:v>5745806.3837568462</c:v>
                </c:pt>
                <c:pt idx="1">
                  <c:v>5547432.1164051574</c:v>
                </c:pt>
                <c:pt idx="2">
                  <c:v>5349057.849053476</c:v>
                </c:pt>
                <c:pt idx="3">
                  <c:v>5150683.5817017909</c:v>
                </c:pt>
                <c:pt idx="4">
                  <c:v>4952309.314350104</c:v>
                </c:pt>
                <c:pt idx="5" formatCode="_-[$$-409]* #\ ##0.00_ ;_-[$$-409]* \-#\ ##0.00\ ;_-[$$-409]* &quot;-&quot;??_ ;_-@_ ">
                  <c:v>19223939.014688</c:v>
                </c:pt>
                <c:pt idx="6">
                  <c:v>4555560.7796467338</c:v>
                </c:pt>
                <c:pt idx="7">
                  <c:v>4357186.5122950505</c:v>
                </c:pt>
                <c:pt idx="8">
                  <c:v>4158812.2449433655</c:v>
                </c:pt>
                <c:pt idx="9">
                  <c:v>3960437.9775916822</c:v>
                </c:pt>
                <c:pt idx="10" formatCode="General">
                  <c:v>3762063.7102399971</c:v>
                </c:pt>
              </c:numCache>
            </c:numRef>
          </c:val>
          <c:smooth val="0"/>
          <c:extLst>
            <c:ext xmlns:c16="http://schemas.microsoft.com/office/drawing/2014/chart" uri="{C3380CC4-5D6E-409C-BE32-E72D297353CC}">
              <c16:uniqueId val="{00000000-E428-44D4-A974-5BEEE947B92C}"/>
            </c:ext>
          </c:extLst>
        </c:ser>
        <c:ser>
          <c:idx val="0"/>
          <c:order val="1"/>
          <c:tx>
            <c:strRef>
              <c:f>'Sensitivity Analysis'!$A$4</c:f>
              <c:strCache>
                <c:ptCount val="1"/>
                <c:pt idx="0">
                  <c:v>Discount rate-real</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Analysis'!$C$4:$M$4</c:f>
              <c:numCache>
                <c:formatCode>0.0</c:formatCode>
                <c:ptCount val="11"/>
                <c:pt idx="0">
                  <c:v>8020361.1445066631</c:v>
                </c:pt>
                <c:pt idx="1">
                  <c:v>7288892.3352164011</c:v>
                </c:pt>
                <c:pt idx="2">
                  <c:v>6599146.4628716316</c:v>
                </c:pt>
                <c:pt idx="3">
                  <c:v>5948394.2429257222</c:v>
                </c:pt>
                <c:pt idx="4">
                  <c:v>5334105.8653927799</c:v>
                </c:pt>
                <c:pt idx="5" formatCode="_-[$$-409]* #\ ##0.00_ ;_-[$$-409]* \-#\ ##0.00\ ;_-[$$-409]* &quot;-&quot;??_ ;_-@_ ">
                  <c:v>19223939.014688</c:v>
                </c:pt>
                <c:pt idx="6">
                  <c:v>4205704.4584616553</c:v>
                </c:pt>
                <c:pt idx="7">
                  <c:v>3687392.4002709929</c:v>
                </c:pt>
                <c:pt idx="8">
                  <c:v>3197120.6126844473</c:v>
                </c:pt>
                <c:pt idx="9">
                  <c:v>2733143.1167760901</c:v>
                </c:pt>
                <c:pt idx="10">
                  <c:v>2293835.9933087677</c:v>
                </c:pt>
              </c:numCache>
            </c:numRef>
          </c:val>
          <c:smooth val="0"/>
          <c:extLst>
            <c:ext xmlns:c16="http://schemas.microsoft.com/office/drawing/2014/chart" uri="{C3380CC4-5D6E-409C-BE32-E72D297353CC}">
              <c16:uniqueId val="{00000007-E428-44D4-A974-5BEEE947B92C}"/>
            </c:ext>
          </c:extLst>
        </c:ser>
        <c:ser>
          <c:idx val="2"/>
          <c:order val="2"/>
          <c:tx>
            <c:strRef>
              <c:f>'Sensitivity Analysis'!$A$5</c:f>
              <c:strCache>
                <c:ptCount val="1"/>
                <c:pt idx="0">
                  <c:v>Inflation rate</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Analysis'!$C$5:$M$5</c:f>
              <c:numCache>
                <c:formatCode>0.0</c:formatCode>
                <c:ptCount val="11"/>
                <c:pt idx="0">
                  <c:v>2918098.1015942656</c:v>
                </c:pt>
                <c:pt idx="1">
                  <c:v>3261934.9499691287</c:v>
                </c:pt>
                <c:pt idx="2">
                  <c:v>3617068.7084188275</c:v>
                </c:pt>
                <c:pt idx="3">
                  <c:v>3983862.0132023059</c:v>
                </c:pt>
                <c:pt idx="4">
                  <c:v>4362688.8812780511</c:v>
                </c:pt>
                <c:pt idx="5" formatCode="_-[$$-409]* #\ ##0.00_ ;_-[$$-409]* \-#\ ##0.00\ ;_-[$$-409]* &quot;-&quot;??_ ;_-@_ ">
                  <c:v>19223939.014688</c:v>
                </c:pt>
                <c:pt idx="6">
                  <c:v>5157998.3079355974</c:v>
                </c:pt>
                <c:pt idx="7">
                  <c:v>5575288.8800604604</c:v>
                </c:pt>
                <c:pt idx="8">
                  <c:v>6006229.7625002619</c:v>
                </c:pt>
                <c:pt idx="9">
                  <c:v>6451257.1121058725</c:v>
                </c:pt>
                <c:pt idx="10">
                  <c:v>6910820.6280643996</c:v>
                </c:pt>
              </c:numCache>
            </c:numRef>
          </c:val>
          <c:smooth val="0"/>
          <c:extLst>
            <c:ext xmlns:c16="http://schemas.microsoft.com/office/drawing/2014/chart" uri="{C3380CC4-5D6E-409C-BE32-E72D297353CC}">
              <c16:uniqueId val="{00000008-E428-44D4-A974-5BEEE947B92C}"/>
            </c:ext>
          </c:extLst>
        </c:ser>
        <c:ser>
          <c:idx val="3"/>
          <c:order val="3"/>
          <c:tx>
            <c:strRef>
              <c:f>'Sensitivity Analysis'!$A$6</c:f>
              <c:strCache>
                <c:ptCount val="1"/>
                <c:pt idx="0">
                  <c:v>Working capital investment</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Analysis'!$C$6:$M$6</c:f>
              <c:numCache>
                <c:formatCode>0.0</c:formatCode>
                <c:ptCount val="11"/>
                <c:pt idx="0">
                  <c:v>4779962.734808417</c:v>
                </c:pt>
                <c:pt idx="1">
                  <c:v>4774757.1972464193</c:v>
                </c:pt>
                <c:pt idx="2">
                  <c:v>4769551.6596844178</c:v>
                </c:pt>
                <c:pt idx="3">
                  <c:v>4764346.1221224181</c:v>
                </c:pt>
                <c:pt idx="4">
                  <c:v>4759140.5845604185</c:v>
                </c:pt>
                <c:pt idx="5" formatCode="_-[$$-409]* #\ ##0.00_ ;_-[$$-409]* \-#\ ##0.00\ ;_-[$$-409]* &quot;-&quot;??_ ;_-@_ ">
                  <c:v>19223939.014688</c:v>
                </c:pt>
                <c:pt idx="6">
                  <c:v>4748729.5094364192</c:v>
                </c:pt>
                <c:pt idx="7">
                  <c:v>4743523.9718744177</c:v>
                </c:pt>
                <c:pt idx="8">
                  <c:v>4738318.4343124181</c:v>
                </c:pt>
                <c:pt idx="9">
                  <c:v>4733112.8967504203</c:v>
                </c:pt>
                <c:pt idx="10">
                  <c:v>4727907.3591884188</c:v>
                </c:pt>
              </c:numCache>
            </c:numRef>
          </c:val>
          <c:smooth val="0"/>
          <c:extLst>
            <c:ext xmlns:c16="http://schemas.microsoft.com/office/drawing/2014/chart" uri="{C3380CC4-5D6E-409C-BE32-E72D297353CC}">
              <c16:uniqueId val="{00000009-E428-44D4-A974-5BEEE947B92C}"/>
            </c:ext>
          </c:extLst>
        </c:ser>
        <c:ser>
          <c:idx val="4"/>
          <c:order val="4"/>
          <c:tx>
            <c:strRef>
              <c:f>'Sensitivity Analysis'!$A$7</c:f>
              <c:strCache>
                <c:ptCount val="1"/>
                <c:pt idx="0">
                  <c:v>Units/year after 3 years</c:v>
                </c:pt>
              </c:strCache>
            </c:strRef>
          </c:tx>
          <c:spPr>
            <a:ln w="22225" cap="rnd">
              <a:solidFill>
                <a:schemeClr val="accent5"/>
              </a:solidFill>
            </a:ln>
            <a:effectLst>
              <a:glow rad="139700">
                <a:schemeClr val="accent5">
                  <a:satMod val="175000"/>
                  <a:alpha val="14000"/>
                </a:schemeClr>
              </a:glow>
            </a:effectLst>
          </c:spPr>
          <c:marker>
            <c:symbol val="none"/>
          </c:marker>
          <c:dPt>
            <c:idx val="5"/>
            <c:marker>
              <c:symbol val="none"/>
            </c:marker>
            <c:bubble3D val="0"/>
            <c:extLst>
              <c:ext xmlns:c16="http://schemas.microsoft.com/office/drawing/2014/chart" uri="{C3380CC4-5D6E-409C-BE32-E72D297353CC}">
                <c16:uniqueId val="{00000000-09C5-49DC-AFED-27DF5EBA6975}"/>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Ref>
              <c:f>'Sensitivity Analysis'!$C$7:$M$7</c:f>
              <c:numCache>
                <c:formatCode>0.0</c:formatCode>
                <c:ptCount val="11"/>
                <c:pt idx="0">
                  <c:v>-186844.73423161171</c:v>
                </c:pt>
                <c:pt idx="1">
                  <c:v>801311.22201439459</c:v>
                </c:pt>
                <c:pt idx="2">
                  <c:v>1789467.178260399</c:v>
                </c:pt>
                <c:pt idx="3">
                  <c:v>2777623.1345064053</c:v>
                </c:pt>
                <c:pt idx="4">
                  <c:v>3765779.0907524116</c:v>
                </c:pt>
                <c:pt idx="5" formatCode="_-[$$-409]* #\ ##0.00_ ;_-[$$-409]* \-#\ ##0.00\ ;_-[$$-409]* &quot;-&quot;??_ ;_-@_ ">
                  <c:v>19223939.014688</c:v>
                </c:pt>
                <c:pt idx="6">
                  <c:v>5742091.0032444224</c:v>
                </c:pt>
                <c:pt idx="7">
                  <c:v>6730246.9594904259</c:v>
                </c:pt>
                <c:pt idx="8">
                  <c:v>7718402.915736435</c:v>
                </c:pt>
                <c:pt idx="9">
                  <c:v>8706558.8719824441</c:v>
                </c:pt>
                <c:pt idx="10">
                  <c:v>9694714.8282284476</c:v>
                </c:pt>
              </c:numCache>
            </c:numRef>
          </c:val>
          <c:smooth val="0"/>
          <c:extLst>
            <c:ext xmlns:c16="http://schemas.microsoft.com/office/drawing/2014/chart" uri="{C3380CC4-5D6E-409C-BE32-E72D297353CC}">
              <c16:uniqueId val="{0000000A-E428-44D4-A974-5BEEE947B92C}"/>
            </c:ext>
          </c:extLst>
        </c:ser>
        <c:dLbls>
          <c:dLblPos val="ctr"/>
          <c:showLegendKey val="0"/>
          <c:showVal val="1"/>
          <c:showCatName val="0"/>
          <c:showSerName val="0"/>
          <c:showPercent val="0"/>
          <c:showBubbleSize val="0"/>
        </c:dLbls>
        <c:smooth val="0"/>
        <c:axId val="267769344"/>
        <c:axId val="267770520"/>
      </c:lineChart>
      <c:catAx>
        <c:axId val="26776934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FI"/>
          </a:p>
        </c:txPr>
        <c:crossAx val="267770520"/>
        <c:crossesAt val="-100000000"/>
        <c:auto val="1"/>
        <c:lblAlgn val="ctr"/>
        <c:lblOffset val="100"/>
        <c:noMultiLvlLbl val="0"/>
      </c:catAx>
      <c:valAx>
        <c:axId val="26777052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FI"/>
          </a:p>
        </c:txPr>
        <c:crossAx val="2677693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FI"/>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FI"/>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'[1]Sensitivity analysis'!$O$1</c:f>
          <c:strCache>
            <c:ptCount val="1"/>
            <c:pt idx="0">
              <c:v>Profitability index</c:v>
            </c:pt>
          </c:strCache>
        </c:strRef>
      </c:tx>
      <c:layout>
        <c:manualLayout>
          <c:xMode val="edge"/>
          <c:yMode val="edge"/>
          <c:x val="0.41489911987705291"/>
          <c:y val="2.777777777777777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FI"/>
        </a:p>
      </c:txPr>
    </c:title>
    <c:autoTitleDeleted val="0"/>
    <c:plotArea>
      <c:layout>
        <c:manualLayout>
          <c:layoutTarget val="inner"/>
          <c:xMode val="edge"/>
          <c:yMode val="edge"/>
          <c:x val="5.8381610504528378E-2"/>
          <c:y val="0.13936351706036745"/>
          <c:w val="0.93641905679731618"/>
          <c:h val="0.74905074365704283"/>
        </c:manualLayout>
      </c:layout>
      <c:lineChart>
        <c:grouping val="standard"/>
        <c:varyColors val="0"/>
        <c:ser>
          <c:idx val="1"/>
          <c:order val="0"/>
          <c:tx>
            <c:strRef>
              <c:f>'Sensitivity Analysis'!$A$3</c:f>
              <c:strCache>
                <c:ptCount val="1"/>
                <c:pt idx="0">
                  <c:v>Corporate tax</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Analysis'!$O$3:$Y$3</c:f>
              <c:numCache>
                <c:formatCode>0.0%</c:formatCode>
                <c:ptCount val="11"/>
                <c:pt idx="0">
                  <c:v>1.5745806383756846</c:v>
                </c:pt>
                <c:pt idx="1">
                  <c:v>1.5547432116405158</c:v>
                </c:pt>
                <c:pt idx="2">
                  <c:v>1.5349057849053476</c:v>
                </c:pt>
                <c:pt idx="3">
                  <c:v>1.5150683581701792</c:v>
                </c:pt>
                <c:pt idx="4">
                  <c:v>1.4952309314350103</c:v>
                </c:pt>
                <c:pt idx="5">
                  <c:v>2.9223939014688001</c:v>
                </c:pt>
                <c:pt idx="6">
                  <c:v>1.4555560779646735</c:v>
                </c:pt>
                <c:pt idx="7">
                  <c:v>1.435718651229505</c:v>
                </c:pt>
                <c:pt idx="8">
                  <c:v>1.4158812244943366</c:v>
                </c:pt>
                <c:pt idx="9">
                  <c:v>1.3960437977591682</c:v>
                </c:pt>
                <c:pt idx="10">
                  <c:v>1.3762063710239998</c:v>
                </c:pt>
              </c:numCache>
            </c:numRef>
          </c:val>
          <c:smooth val="0"/>
          <c:extLst>
            <c:ext xmlns:c16="http://schemas.microsoft.com/office/drawing/2014/chart" uri="{C3380CC4-5D6E-409C-BE32-E72D297353CC}">
              <c16:uniqueId val="{00000000-097F-4B92-BEA8-97DBA0C172D6}"/>
            </c:ext>
          </c:extLst>
        </c:ser>
        <c:ser>
          <c:idx val="3"/>
          <c:order val="1"/>
          <c:tx>
            <c:strRef>
              <c:f>'Sensitivity Analysis'!$A$4</c:f>
              <c:strCache>
                <c:ptCount val="1"/>
                <c:pt idx="0">
                  <c:v>Discount rate-real</c:v>
                </c:pt>
              </c:strCache>
            </c:strRef>
          </c:tx>
          <c:spPr>
            <a:ln w="31750" cap="rnd">
              <a:solidFill>
                <a:schemeClr val="accent4"/>
              </a:solidFill>
              <a:round/>
            </a:ln>
            <a:effectLst/>
          </c:spPr>
          <c:marker>
            <c:symbol val="circle"/>
            <c:size val="17"/>
            <c:spPr>
              <a:solidFill>
                <a:schemeClr val="accent4"/>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Analysis'!$O$4:$Y$4</c:f>
              <c:numCache>
                <c:formatCode>0.0%</c:formatCode>
                <c:ptCount val="11"/>
                <c:pt idx="0">
                  <c:v>1.8020361144506665</c:v>
                </c:pt>
                <c:pt idx="1">
                  <c:v>1.7288892335216401</c:v>
                </c:pt>
                <c:pt idx="2">
                  <c:v>1.659914646287163</c:v>
                </c:pt>
                <c:pt idx="3">
                  <c:v>1.5948394242925721</c:v>
                </c:pt>
                <c:pt idx="4">
                  <c:v>1.533410586539278</c:v>
                </c:pt>
                <c:pt idx="5">
                  <c:v>2.9223939014688001</c:v>
                </c:pt>
                <c:pt idx="6">
                  <c:v>1.4205704458461654</c:v>
                </c:pt>
                <c:pt idx="7">
                  <c:v>1.3687392400270992</c:v>
                </c:pt>
                <c:pt idx="8">
                  <c:v>1.3197120612684448</c:v>
                </c:pt>
                <c:pt idx="9">
                  <c:v>1.2733143116776091</c:v>
                </c:pt>
                <c:pt idx="10">
                  <c:v>1.2293835993308768</c:v>
                </c:pt>
              </c:numCache>
            </c:numRef>
          </c:val>
          <c:smooth val="0"/>
          <c:extLst>
            <c:ext xmlns:c16="http://schemas.microsoft.com/office/drawing/2014/chart" uri="{C3380CC4-5D6E-409C-BE32-E72D297353CC}">
              <c16:uniqueId val="{00000001-097F-4B92-BEA8-97DBA0C172D6}"/>
            </c:ext>
          </c:extLst>
        </c:ser>
        <c:ser>
          <c:idx val="4"/>
          <c:order val="2"/>
          <c:tx>
            <c:strRef>
              <c:f>'Sensitivity Analysis'!$A$5</c:f>
              <c:strCache>
                <c:ptCount val="1"/>
                <c:pt idx="0">
                  <c:v>Inflation rate</c:v>
                </c:pt>
              </c:strCache>
            </c:strRef>
          </c:tx>
          <c:spPr>
            <a:ln w="31750" cap="rnd">
              <a:solidFill>
                <a:schemeClr val="accent5"/>
              </a:solidFill>
              <a:round/>
            </a:ln>
            <a:effectLst/>
          </c:spPr>
          <c:marker>
            <c:symbol val="circle"/>
            <c:size val="17"/>
            <c:spPr>
              <a:solidFill>
                <a:schemeClr val="accent5"/>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Analysis'!$O$5:$Y$5</c:f>
              <c:numCache>
                <c:formatCode>0.0%</c:formatCode>
                <c:ptCount val="11"/>
                <c:pt idx="0">
                  <c:v>1.2918098101594264</c:v>
                </c:pt>
                <c:pt idx="1">
                  <c:v>1.3261934949969127</c:v>
                </c:pt>
                <c:pt idx="2">
                  <c:v>1.3617068708418827</c:v>
                </c:pt>
                <c:pt idx="3">
                  <c:v>1.3983862013202306</c:v>
                </c:pt>
                <c:pt idx="4">
                  <c:v>1.4362688881278052</c:v>
                </c:pt>
                <c:pt idx="5">
                  <c:v>2.9223939014688001</c:v>
                </c:pt>
                <c:pt idx="6">
                  <c:v>1.5157998307935596</c:v>
                </c:pt>
                <c:pt idx="7">
                  <c:v>1.5575288880060461</c:v>
                </c:pt>
                <c:pt idx="8">
                  <c:v>1.6006229762500261</c:v>
                </c:pt>
                <c:pt idx="9">
                  <c:v>1.6451257112105873</c:v>
                </c:pt>
                <c:pt idx="10">
                  <c:v>1.6910820628064398</c:v>
                </c:pt>
              </c:numCache>
            </c:numRef>
          </c:val>
          <c:smooth val="0"/>
          <c:extLst>
            <c:ext xmlns:c16="http://schemas.microsoft.com/office/drawing/2014/chart" uri="{C3380CC4-5D6E-409C-BE32-E72D297353CC}">
              <c16:uniqueId val="{00000002-097F-4B92-BEA8-97DBA0C172D6}"/>
            </c:ext>
          </c:extLst>
        </c:ser>
        <c:ser>
          <c:idx val="5"/>
          <c:order val="3"/>
          <c:tx>
            <c:strRef>
              <c:f>'Sensitivity Analysis'!$A$6</c:f>
              <c:strCache>
                <c:ptCount val="1"/>
                <c:pt idx="0">
                  <c:v>Working capital investment</c:v>
                </c:pt>
              </c:strCache>
            </c:strRef>
          </c:tx>
          <c:spPr>
            <a:ln w="31750" cap="rnd">
              <a:solidFill>
                <a:schemeClr val="accent6"/>
              </a:solidFill>
              <a:round/>
            </a:ln>
            <a:effectLst/>
          </c:spPr>
          <c:marker>
            <c:symbol val="circle"/>
            <c:size val="17"/>
            <c:spPr>
              <a:solidFill>
                <a:schemeClr val="accent6"/>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'Sensitivity Analysis'!$O$6:$Y$6</c:f>
              <c:numCache>
                <c:formatCode>0.0%</c:formatCode>
                <c:ptCount val="11"/>
                <c:pt idx="0">
                  <c:v>1.4779962734808416</c:v>
                </c:pt>
                <c:pt idx="1">
                  <c:v>1.477475719724642</c:v>
                </c:pt>
                <c:pt idx="2">
                  <c:v>1.4769551659684419</c:v>
                </c:pt>
                <c:pt idx="3">
                  <c:v>1.4764346122122418</c:v>
                </c:pt>
                <c:pt idx="4">
                  <c:v>1.4759140584560417</c:v>
                </c:pt>
                <c:pt idx="5">
                  <c:v>2.9223939014688001</c:v>
                </c:pt>
                <c:pt idx="6">
                  <c:v>1.474872950943642</c:v>
                </c:pt>
                <c:pt idx="7">
                  <c:v>1.4743523971874417</c:v>
                </c:pt>
                <c:pt idx="8">
                  <c:v>1.4738318434312419</c:v>
                </c:pt>
                <c:pt idx="9">
                  <c:v>1.473311289675042</c:v>
                </c:pt>
                <c:pt idx="10">
                  <c:v>1.4727907359188419</c:v>
                </c:pt>
              </c:numCache>
            </c:numRef>
          </c:val>
          <c:smooth val="0"/>
          <c:extLst>
            <c:ext xmlns:c16="http://schemas.microsoft.com/office/drawing/2014/chart" uri="{C3380CC4-5D6E-409C-BE32-E72D297353CC}">
              <c16:uniqueId val="{00000003-097F-4B92-BEA8-97DBA0C172D6}"/>
            </c:ext>
          </c:extLst>
        </c:ser>
        <c:ser>
          <c:idx val="6"/>
          <c:order val="4"/>
          <c:tx>
            <c:strRef>
              <c:f>'Sensitivity Analysis'!$A$7</c:f>
              <c:strCache>
                <c:ptCount val="1"/>
                <c:pt idx="0">
                  <c:v>Units/year after 3 years</c:v>
                </c:pt>
              </c:strCache>
            </c:strRef>
          </c:tx>
          <c:spPr>
            <a:ln w="31750" cap="rnd">
              <a:solidFill>
                <a:schemeClr val="accent1">
                  <a:lumMod val="60000"/>
                </a:schemeClr>
              </a:solidFill>
              <a:round/>
            </a:ln>
            <a:effectLst/>
          </c:spPr>
          <c:marker>
            <c:symbol val="circle"/>
            <c:size val="17"/>
            <c:spPr>
              <a:solidFill>
                <a:schemeClr val="accent1">
                  <a:lumMod val="60000"/>
                </a:schemeClr>
              </a:solidFill>
              <a:ln>
                <a:noFill/>
              </a:ln>
              <a:effectLst/>
            </c:spPr>
          </c:marker>
          <c:dPt>
            <c:idx val="5"/>
            <c:marker>
              <c:symbol val="circle"/>
              <c:size val="17"/>
              <c:spPr>
                <a:solidFill>
                  <a:schemeClr val="accent1">
                    <a:lumMod val="60000"/>
                  </a:schemeClr>
                </a:solidFill>
                <a:ln>
                  <a:noFill/>
                </a:ln>
                <a:effectLst/>
              </c:spPr>
            </c:marker>
            <c:bubble3D val="0"/>
            <c:extLst>
              <c:ext xmlns:c16="http://schemas.microsoft.com/office/drawing/2014/chart" uri="{C3380CC4-5D6E-409C-BE32-E72D297353CC}">
                <c16:uniqueId val="{00000004-097F-4B92-BEA8-97DBA0C172D6}"/>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FI"/>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'Sensitivity Analysis'!$O$7:$Y$7</c:f>
              <c:numCache>
                <c:formatCode>0.0%</c:formatCode>
                <c:ptCount val="11"/>
                <c:pt idx="0">
                  <c:v>0.98131552657683885</c:v>
                </c:pt>
                <c:pt idx="1">
                  <c:v>1.0801311222014394</c:v>
                </c:pt>
                <c:pt idx="2">
                  <c:v>1.17894671782604</c:v>
                </c:pt>
                <c:pt idx="3">
                  <c:v>1.2777623134506406</c:v>
                </c:pt>
                <c:pt idx="4">
                  <c:v>1.3765779090752412</c:v>
                </c:pt>
                <c:pt idx="5">
                  <c:v>2.9223939014688001</c:v>
                </c:pt>
                <c:pt idx="6">
                  <c:v>1.5742091003244423</c:v>
                </c:pt>
                <c:pt idx="7">
                  <c:v>1.6730246959490427</c:v>
                </c:pt>
                <c:pt idx="8">
                  <c:v>1.7718402915736435</c:v>
                </c:pt>
                <c:pt idx="9">
                  <c:v>1.8706558871982444</c:v>
                </c:pt>
                <c:pt idx="10">
                  <c:v>1.9694714828228448</c:v>
                </c:pt>
              </c:numCache>
            </c:numRef>
          </c:val>
          <c:smooth val="0"/>
          <c:extLst>
            <c:ext xmlns:c16="http://schemas.microsoft.com/office/drawing/2014/chart" uri="{C3380CC4-5D6E-409C-BE32-E72D297353CC}">
              <c16:uniqueId val="{00000005-097F-4B92-BEA8-97DBA0C172D6}"/>
            </c:ext>
          </c:extLst>
        </c:ser>
        <c:dLbls>
          <c:dLblPos val="ctr"/>
          <c:showLegendKey val="0"/>
          <c:showVal val="1"/>
          <c:showCatName val="0"/>
          <c:showSerName val="0"/>
          <c:showPercent val="0"/>
          <c:showBubbleSize val="0"/>
        </c:dLbls>
        <c:marker val="1"/>
        <c:smooth val="0"/>
        <c:axId val="267771304"/>
        <c:axId val="267771696"/>
      </c:lineChart>
      <c:catAx>
        <c:axId val="267771304"/>
        <c:scaling>
          <c:orientation val="minMax"/>
        </c:scaling>
        <c:delete val="0"/>
        <c:axPos val="b"/>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FI"/>
          </a:p>
        </c:txPr>
        <c:crossAx val="267771696"/>
        <c:crossesAt val="-100000000"/>
        <c:auto val="1"/>
        <c:lblAlgn val="ctr"/>
        <c:lblOffset val="100"/>
        <c:noMultiLvlLbl val="0"/>
      </c:catAx>
      <c:valAx>
        <c:axId val="26777169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67771304"/>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FI"/>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Radio" firstButton="1" fmlaLink="$D$3"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1249680</xdr:colOff>
          <xdr:row>2</xdr:row>
          <xdr:rowOff>144780</xdr:rowOff>
        </xdr:from>
        <xdr:to>
          <xdr:col>3</xdr:col>
          <xdr:colOff>1584960</xdr:colOff>
          <xdr:row>4</xdr:row>
          <xdr:rowOff>22860</xdr:rowOff>
        </xdr:to>
        <xdr:sp macro="" textlink="">
          <xdr:nvSpPr>
            <xdr:cNvPr id="1029" name="Option 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1249680</xdr:colOff>
          <xdr:row>4</xdr:row>
          <xdr:rowOff>7620</xdr:rowOff>
        </xdr:from>
        <xdr:to>
          <xdr:col>3</xdr:col>
          <xdr:colOff>1584960</xdr:colOff>
          <xdr:row>5</xdr:row>
          <xdr:rowOff>68580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1249680</xdr:colOff>
          <xdr:row>4</xdr:row>
          <xdr:rowOff>198120</xdr:rowOff>
        </xdr:from>
        <xdr:to>
          <xdr:col>3</xdr:col>
          <xdr:colOff>1584960</xdr:colOff>
          <xdr:row>6</xdr:row>
          <xdr:rowOff>68580</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200024</xdr:colOff>
      <xdr:row>25</xdr:row>
      <xdr:rowOff>179293</xdr:rowOff>
    </xdr:from>
    <xdr:to>
      <xdr:col>15</xdr:col>
      <xdr:colOff>514349</xdr:colOff>
      <xdr:row>42</xdr:row>
      <xdr:rowOff>134471</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6466353" y="4724399"/>
          <a:ext cx="3971925" cy="3514166"/>
        </a:xfrm>
        <a:prstGeom prst="rect">
          <a:avLst/>
        </a:prstGeom>
        <a:solidFill>
          <a:schemeClr val="accent5">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FI" sz="1100"/>
            <a:t>a.</a:t>
          </a:r>
          <a:r>
            <a:rPr lang="en-FI" sz="1100" baseline="0"/>
            <a:t> </a:t>
          </a:r>
          <a:r>
            <a:rPr lang="en-US" sz="1100"/>
            <a:t>A positive net present value of $4,75,000,000 indicates that the investment is profitable. Moreover, 12% internal rate of return is preferred since a greater internal rate of return often indicates that an investment will be more lucrative. The better the investment, the higher the number; PI is over 1, which is positive. The project has a DPP of 9, which indicates that it will take around 9 years to break even and 13 years to turn a profit.</a:t>
          </a:r>
          <a:endParaRPr lang="en-FI" sz="1100"/>
        </a:p>
        <a:p>
          <a:endParaRPr lang="en-FI" sz="1100"/>
        </a:p>
        <a:p>
          <a:r>
            <a:rPr lang="en-FI" sz="1100"/>
            <a:t>b. </a:t>
          </a:r>
          <a:r>
            <a:rPr lang="en-US" sz="1100"/>
            <a:t>Breakeven analysis informs the user of the point at which an investment generates profits that are at least equal to the costs incurred by the same investment with the chosen variables. At breakeven, there is no profit.</a:t>
          </a:r>
          <a:endParaRPr lang="en-FI" sz="1100"/>
        </a:p>
        <a:p>
          <a:endParaRPr lang="en-FI"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c</a:t>
          </a:r>
          <a:r>
            <a:rPr lang="en-FI" sz="1100" baseline="0">
              <a:solidFill>
                <a:schemeClr val="dk1"/>
              </a:solidFill>
              <a:effectLst/>
              <a:latin typeface="+mn-lt"/>
              <a:ea typeface="+mn-ea"/>
              <a:cs typeface="+mn-cs"/>
            </a:rPr>
            <a:t>.</a:t>
          </a:r>
          <a:r>
            <a:rPr lang="en-US" sz="1100" baseline="0">
              <a:solidFill>
                <a:schemeClr val="dk1"/>
              </a:solidFill>
              <a:effectLst/>
              <a:latin typeface="+mn-lt"/>
              <a:ea typeface="+mn-ea"/>
              <a:cs typeface="+mn-cs"/>
            </a:rPr>
            <a:t> It is clear from the sensitivity graph that the discount rate, the number of bottles produced, and the inflation rate all have a significant influence on the NPV and PI.</a:t>
          </a:r>
          <a:endParaRPr lang="en-FI"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FI"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d</a:t>
          </a:r>
          <a:r>
            <a:rPr lang="en-FI" sz="1100" baseline="0">
              <a:solidFill>
                <a:schemeClr val="dk1"/>
              </a:solidFill>
              <a:effectLst/>
              <a:latin typeface="+mn-lt"/>
              <a:ea typeface="+mn-ea"/>
              <a:cs typeface="+mn-cs"/>
            </a:rPr>
            <a:t>.</a:t>
          </a:r>
          <a:r>
            <a:rPr lang="en-US" sz="1100" baseline="0">
              <a:solidFill>
                <a:schemeClr val="dk1"/>
              </a:solidFill>
              <a:effectLst/>
              <a:latin typeface="+mn-lt"/>
              <a:ea typeface="+mn-ea"/>
              <a:cs typeface="+mn-cs"/>
            </a:rPr>
            <a:t> The scenario summary illustrates the large variations in net present value that result from changes in inflation, bottle price, and tax rate.</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76200</xdr:colOff>
          <xdr:row>1</xdr:row>
          <xdr:rowOff>60960</xdr:rowOff>
        </xdr:from>
        <xdr:to>
          <xdr:col>2</xdr:col>
          <xdr:colOff>190500</xdr:colOff>
          <xdr:row>2</xdr:row>
          <xdr:rowOff>182880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FI"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5</xdr:col>
      <xdr:colOff>358588</xdr:colOff>
      <xdr:row>9</xdr:row>
      <xdr:rowOff>62753</xdr:rowOff>
    </xdr:from>
    <xdr:to>
      <xdr:col>14</xdr:col>
      <xdr:colOff>17931</xdr:colOff>
      <xdr:row>23</xdr:row>
      <xdr:rowOff>4483</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587190</xdr:colOff>
      <xdr:row>0</xdr:row>
      <xdr:rowOff>9638</xdr:rowOff>
    </xdr:from>
    <xdr:to>
      <xdr:col>28</xdr:col>
      <xdr:colOff>448237</xdr:colOff>
      <xdr:row>18</xdr:row>
      <xdr:rowOff>156882</xdr:rowOff>
    </xdr:to>
    <xdr:graphicFrame macro="">
      <xdr:nvGraphicFramePr>
        <xdr:cNvPr id="6" name="Диаграмма 1">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14</xdr:col>
          <xdr:colOff>152400</xdr:colOff>
          <xdr:row>21</xdr:row>
          <xdr:rowOff>99060</xdr:rowOff>
        </xdr:from>
        <xdr:to>
          <xdr:col>16</xdr:col>
          <xdr:colOff>312420</xdr:colOff>
          <xdr:row>24</xdr:row>
          <xdr:rowOff>7620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FI" sz="1100" b="0" i="0" u="none" strike="noStrike" baseline="0">
                  <a:solidFill>
                    <a:srgbClr val="000000"/>
                  </a:solidFill>
                  <a:latin typeface="Calibri"/>
                  <a:ea typeface="Calibri"/>
                  <a:cs typeface="Calibri"/>
                </a:rPr>
                <a:t>Sensitivity</a:t>
              </a:r>
            </a:p>
          </xdr:txBody>
        </xdr:sp>
        <xdr:clientData fPrintsWithSheet="0"/>
      </xdr:twoCellAnchor>
    </mc:Choice>
    <mc:Fallback/>
  </mc:AlternateContent>
  <xdr:twoCellAnchor>
    <xdr:from>
      <xdr:col>17</xdr:col>
      <xdr:colOff>4035</xdr:colOff>
      <xdr:row>20</xdr:row>
      <xdr:rowOff>69476</xdr:rowOff>
    </xdr:from>
    <xdr:to>
      <xdr:col>28</xdr:col>
      <xdr:colOff>494853</xdr:colOff>
      <xdr:row>35</xdr:row>
      <xdr:rowOff>69476</xdr:rowOff>
    </xdr:to>
    <xdr:graphicFrame macro="">
      <xdr:nvGraphicFramePr>
        <xdr:cNvPr id="8" name="Диаграмма 5">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17929</xdr:colOff>
      <xdr:row>10</xdr:row>
      <xdr:rowOff>126458</xdr:rowOff>
    </xdr:from>
    <xdr:to>
      <xdr:col>13</xdr:col>
      <xdr:colOff>7619</xdr:colOff>
      <xdr:row>28</xdr:row>
      <xdr:rowOff>82643</xdr:rowOff>
    </xdr:to>
    <xdr:graphicFrame macro="">
      <xdr:nvGraphicFramePr>
        <xdr:cNvPr id="2" name="Диаграмма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152400</xdr:colOff>
          <xdr:row>10</xdr:row>
          <xdr:rowOff>99060</xdr:rowOff>
        </xdr:from>
        <xdr:to>
          <xdr:col>1</xdr:col>
          <xdr:colOff>1379220</xdr:colOff>
          <xdr:row>12</xdr:row>
          <xdr:rowOff>144780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FI" sz="1100" b="0" i="0" u="none" strike="noStrike" baseline="0">
                  <a:solidFill>
                    <a:srgbClr val="000000"/>
                  </a:solidFill>
                  <a:latin typeface="Calibri"/>
                  <a:ea typeface="Calibri"/>
                  <a:cs typeface="Calibri"/>
                </a:rPr>
                <a:t>Renew</a:t>
              </a:r>
            </a:p>
          </xdr:txBody>
        </xdr:sp>
        <xdr:clientData fPrintsWithSheet="0"/>
      </xdr:twoCellAnchor>
    </mc:Choice>
    <mc:Fallback/>
  </mc:AlternateContent>
  <xdr:twoCellAnchor>
    <xdr:from>
      <xdr:col>12</xdr:col>
      <xdr:colOff>1111625</xdr:colOff>
      <xdr:row>10</xdr:row>
      <xdr:rowOff>112394</xdr:rowOff>
    </xdr:from>
    <xdr:to>
      <xdr:col>28</xdr:col>
      <xdr:colOff>170331</xdr:colOff>
      <xdr:row>28</xdr:row>
      <xdr:rowOff>96707</xdr:rowOff>
    </xdr:to>
    <xdr:graphicFrame macro="">
      <xdr:nvGraphicFramePr>
        <xdr:cNvPr id="4" name="Диаграмма 5">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lut-my.sharepoint.com/Users/merit/Downloads/HW5%2011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enario Summary"/>
      <sheetName val="Scenario Summary 2"/>
      <sheetName val="INPUT"/>
      <sheetName val="MC_hist"/>
      <sheetName val="MC_sim"/>
      <sheetName val="MC_data"/>
      <sheetName val="Sensitivity input"/>
      <sheetName val="CASH FLOWS"/>
      <sheetName val="OUTPUT"/>
      <sheetName val="Processing"/>
      <sheetName val="Sensitivity analysis"/>
    </sheetNames>
    <sheetDataSet>
      <sheetData sheetId="0"/>
      <sheetData sheetId="1"/>
      <sheetData sheetId="2"/>
      <sheetData sheetId="3"/>
      <sheetData sheetId="4"/>
      <sheetData sheetId="5"/>
      <sheetData sheetId="6"/>
      <sheetData sheetId="7"/>
      <sheetData sheetId="8"/>
      <sheetData sheetId="9"/>
      <sheetData sheetId="10">
        <row r="1">
          <cell r="O1" t="str">
            <v>Profitability index</v>
          </cell>
        </row>
      </sheetData>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61EF6-1A32-434F-81BC-3E21C7481F89}">
  <sheetPr codeName="Sheet1"/>
  <dimension ref="A2:H22"/>
  <sheetViews>
    <sheetView workbookViewId="0">
      <selection activeCell="D2" sqref="D2"/>
    </sheetView>
  </sheetViews>
  <sheetFormatPr defaultRowHeight="14.4" x14ac:dyDescent="0.3"/>
  <cols>
    <col min="1" max="1" width="27.109375" customWidth="1"/>
    <col min="2" max="2" width="28.88671875" customWidth="1"/>
    <col min="3" max="3" width="11.33203125" customWidth="1"/>
    <col min="4" max="4" width="47.77734375" customWidth="1"/>
    <col min="5" max="6" width="12" bestFit="1" customWidth="1"/>
    <col min="7" max="7" width="13.109375" bestFit="1" customWidth="1"/>
    <col min="10" max="10" width="13.109375" bestFit="1" customWidth="1"/>
    <col min="11" max="11" width="14.33203125" customWidth="1"/>
    <col min="12" max="12" width="10.44140625" customWidth="1"/>
    <col min="13" max="13" width="11.33203125" bestFit="1" customWidth="1"/>
    <col min="14" max="14" width="9.44140625" bestFit="1" customWidth="1"/>
    <col min="15" max="15" width="13.33203125" customWidth="1"/>
    <col min="16" max="16" width="17.6640625" customWidth="1"/>
    <col min="17" max="17" width="14.109375" customWidth="1"/>
    <col min="18" max="18" width="11.44140625" customWidth="1"/>
  </cols>
  <sheetData>
    <row r="2" spans="1:8" ht="25.8" thickBot="1" x14ac:dyDescent="0.65">
      <c r="A2" s="12" t="s">
        <v>24</v>
      </c>
      <c r="D2" s="12" t="s">
        <v>67</v>
      </c>
    </row>
    <row r="3" spans="1:8" x14ac:dyDescent="0.3">
      <c r="A3" s="9" t="s">
        <v>2</v>
      </c>
      <c r="B3" s="13">
        <v>-50000</v>
      </c>
      <c r="C3" s="16">
        <f>B3*'Sensitivity Analysis'!B6</f>
        <v>-50000</v>
      </c>
      <c r="D3" s="15">
        <v>3</v>
      </c>
      <c r="E3" s="1" t="s">
        <v>68</v>
      </c>
      <c r="F3" s="1" t="s">
        <v>32</v>
      </c>
      <c r="G3" s="1" t="s">
        <v>33</v>
      </c>
      <c r="H3" s="1" t="s">
        <v>34</v>
      </c>
    </row>
    <row r="4" spans="1:8" x14ac:dyDescent="0.3">
      <c r="A4" s="10" t="s">
        <v>25</v>
      </c>
      <c r="B4" s="14">
        <v>2</v>
      </c>
      <c r="C4" s="16"/>
      <c r="D4" s="15" t="s">
        <v>35</v>
      </c>
      <c r="E4" s="1">
        <v>1</v>
      </c>
      <c r="F4" s="1">
        <v>0.02</v>
      </c>
      <c r="G4" s="1">
        <v>0.3</v>
      </c>
      <c r="H4" s="1">
        <v>1</v>
      </c>
    </row>
    <row r="5" spans="1:8" x14ac:dyDescent="0.3">
      <c r="A5" s="10" t="s">
        <v>26</v>
      </c>
      <c r="B5" s="14">
        <v>4</v>
      </c>
      <c r="C5" s="16"/>
      <c r="D5" s="15" t="s">
        <v>36</v>
      </c>
      <c r="E5" s="1">
        <v>2</v>
      </c>
      <c r="F5" s="1">
        <v>0.04</v>
      </c>
      <c r="G5" s="1">
        <v>0.2</v>
      </c>
      <c r="H5" s="1">
        <v>2</v>
      </c>
    </row>
    <row r="6" spans="1:8" x14ac:dyDescent="0.3">
      <c r="A6" s="10" t="s">
        <v>27</v>
      </c>
      <c r="B6" s="14">
        <v>0.1</v>
      </c>
      <c r="C6" s="16"/>
      <c r="D6" s="15" t="s">
        <v>37</v>
      </c>
      <c r="E6" s="1">
        <v>3</v>
      </c>
      <c r="F6" s="1">
        <v>0.06</v>
      </c>
      <c r="G6" s="1">
        <v>0.1</v>
      </c>
      <c r="H6" s="1">
        <v>3</v>
      </c>
    </row>
    <row r="7" spans="1:8" x14ac:dyDescent="0.3">
      <c r="A7" s="10" t="s">
        <v>28</v>
      </c>
      <c r="B7" s="14">
        <f>(1+B6)/(1+C8)-1</f>
        <v>3.7735849056603765E-2</v>
      </c>
      <c r="C7" s="16">
        <f>B7*'Sensitivity Analysis'!B4</f>
        <v>3.7735849056603765E-2</v>
      </c>
    </row>
    <row r="8" spans="1:8" x14ac:dyDescent="0.3">
      <c r="A8" s="10" t="s">
        <v>29</v>
      </c>
      <c r="B8" s="14">
        <f>VLOOKUP(D3,E4:H6,2,FALSE)</f>
        <v>0.06</v>
      </c>
      <c r="C8" s="16">
        <f>B8*'Sensitivity Analysis'!B5</f>
        <v>0.06</v>
      </c>
    </row>
    <row r="9" spans="1:8" x14ac:dyDescent="0.3">
      <c r="A9" s="10" t="s">
        <v>30</v>
      </c>
      <c r="B9" s="14">
        <f>VLOOKUP(D3,E4:H6,3,FALSE)</f>
        <v>0.1</v>
      </c>
      <c r="C9" s="16">
        <f>B9*'Sensitivity Analysis'!B3</f>
        <v>0.1</v>
      </c>
    </row>
    <row r="10" spans="1:8" x14ac:dyDescent="0.3">
      <c r="A10" s="10" t="s">
        <v>48</v>
      </c>
      <c r="B10" s="14">
        <v>-10000000</v>
      </c>
      <c r="C10" s="16"/>
    </row>
    <row r="11" spans="1:8" x14ac:dyDescent="0.3">
      <c r="A11" s="10"/>
      <c r="B11" s="14">
        <f>B10/2</f>
        <v>-5000000</v>
      </c>
      <c r="C11" s="16"/>
    </row>
    <row r="12" spans="1:8" x14ac:dyDescent="0.3">
      <c r="A12" s="10" t="s">
        <v>31</v>
      </c>
      <c r="B12" s="14">
        <v>1</v>
      </c>
      <c r="C12" s="16"/>
    </row>
    <row r="13" spans="1:8" x14ac:dyDescent="0.3">
      <c r="A13" s="10" t="s">
        <v>14</v>
      </c>
      <c r="B13" s="14">
        <v>-0.5</v>
      </c>
      <c r="C13" s="16"/>
    </row>
    <row r="14" spans="1:8" x14ac:dyDescent="0.3">
      <c r="A14" s="10" t="s">
        <v>15</v>
      </c>
      <c r="B14" s="14">
        <f>VLOOKUP(D3,E4:H6,4,FALSE)</f>
        <v>3</v>
      </c>
      <c r="C14" s="16"/>
    </row>
    <row r="15" spans="1:8" x14ac:dyDescent="0.3">
      <c r="A15" s="10" t="s">
        <v>16</v>
      </c>
      <c r="B15" s="14">
        <f>B14+B13</f>
        <v>2.5</v>
      </c>
      <c r="C15" s="16"/>
    </row>
    <row r="16" spans="1:8" x14ac:dyDescent="0.3">
      <c r="A16" s="10" t="s">
        <v>17</v>
      </c>
      <c r="B16" s="14">
        <v>1000000</v>
      </c>
      <c r="C16" s="16"/>
    </row>
    <row r="17" spans="1:3" x14ac:dyDescent="0.3">
      <c r="A17" s="10" t="s">
        <v>18</v>
      </c>
      <c r="B17" s="14">
        <v>2</v>
      </c>
      <c r="C17" s="16"/>
    </row>
    <row r="18" spans="1:3" x14ac:dyDescent="0.3">
      <c r="A18" s="10" t="s">
        <v>19</v>
      </c>
      <c r="B18" s="14">
        <f>B16*B14</f>
        <v>3000000</v>
      </c>
      <c r="C18" s="16"/>
    </row>
    <row r="19" spans="1:3" x14ac:dyDescent="0.3">
      <c r="A19" s="10" t="s">
        <v>20</v>
      </c>
      <c r="B19" s="14">
        <f>B16*1.5</f>
        <v>1500000</v>
      </c>
      <c r="C19" s="16">
        <f>B19*'Sensitivity Analysis'!B7</f>
        <v>1500000</v>
      </c>
    </row>
    <row r="20" spans="1:3" x14ac:dyDescent="0.3">
      <c r="A20" s="10" t="s">
        <v>21</v>
      </c>
      <c r="B20" s="14">
        <v>5</v>
      </c>
      <c r="C20" s="16"/>
    </row>
    <row r="21" spans="1:3" x14ac:dyDescent="0.3">
      <c r="A21" s="10" t="s">
        <v>22</v>
      </c>
      <c r="B21" s="14">
        <f>(B14+B13)*B19</f>
        <v>3750000</v>
      </c>
      <c r="C21" s="16"/>
    </row>
    <row r="22" spans="1:3" x14ac:dyDescent="0.3">
      <c r="A22" s="10" t="s">
        <v>23</v>
      </c>
      <c r="B22" s="14">
        <v>13</v>
      </c>
      <c r="C22" s="16"/>
    </row>
  </sheetData>
  <scenarios current="0" sqref="R16">
    <scenario name="pessimistic" locked="1" count="3" user="Merituuli Jääskeläinen" comment="Created by Merituuli Jääskeläinen on 05/07/2021">
      <inputCells r="B8" val="0.02"/>
      <inputCells r="B14" val="1"/>
      <inputCells r="B9" val="0.3"/>
    </scenario>
    <scenario name="realistic" locked="1" count="3" user="Merituuli Jääskeläinen" comment="Created by Merituuli Jääskeläinen on 05/07/2021">
      <inputCells r="B8" val="0.04"/>
      <inputCells r="B14" val="2"/>
      <inputCells r="B9" val="0.2"/>
    </scenario>
    <scenario name="optimistic" locked="1" count="3" user="Merituuli Jääskeläinen" comment="Created by Merituuli Jääskeläinen on 05/07/2021">
      <inputCells r="B8" val="0.06"/>
      <inputCells r="B14" val="3"/>
      <inputCells r="B9" val="0.1"/>
    </scenario>
  </scenarios>
  <conditionalFormatting sqref="B3:B22">
    <cfRule type="cellIs" dxfId="3" priority="4" operator="lessThan">
      <formula>0</formula>
    </cfRule>
    <cfRule type="cellIs" dxfId="2" priority="5" operator="greaterThan">
      <formula>0</formula>
    </cfRule>
    <cfRule type="colorScale" priority="1">
      <colorScale>
        <cfvo type="min"/>
        <cfvo type="max"/>
        <color rgb="FFFFEF9C"/>
        <color rgb="FF63BE7B"/>
      </colorScale>
    </cfRule>
  </conditionalFormatting>
  <dataValidations count="2">
    <dataValidation type="list" allowBlank="1" showInputMessage="1" showErrorMessage="1" sqref="B22" xr:uid="{95838DE5-E06B-47D4-9C82-30F682B24E27}">
      <formula1>$T$5:$T$17</formula1>
    </dataValidation>
    <dataValidation type="list" allowBlank="1" showInputMessage="1" showErrorMessage="1" sqref="B17 B12 B20 B4:B5" xr:uid="{6B6C6FFB-5A6D-4C10-AD67-2DF739CBB140}">
      <formula1>$T$3:$T$17</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Option Button 5">
              <controlPr defaultSize="0" autoFill="0" autoLine="0" autoPict="0">
                <anchor moveWithCells="1">
                  <from>
                    <xdr:col>3</xdr:col>
                    <xdr:colOff>1249680</xdr:colOff>
                    <xdr:row>2</xdr:row>
                    <xdr:rowOff>144780</xdr:rowOff>
                  </from>
                  <to>
                    <xdr:col>3</xdr:col>
                    <xdr:colOff>1584960</xdr:colOff>
                    <xdr:row>4</xdr:row>
                    <xdr:rowOff>22860</xdr:rowOff>
                  </to>
                </anchor>
              </controlPr>
            </control>
          </mc:Choice>
        </mc:AlternateContent>
        <mc:AlternateContent xmlns:mc="http://schemas.openxmlformats.org/markup-compatibility/2006">
          <mc:Choice Requires="x14">
            <control shapeId="1030" r:id="rId5" name="Option Button 6">
              <controlPr defaultSize="0" autoFill="0" autoLine="0" autoPict="0">
                <anchor moveWithCells="1">
                  <from>
                    <xdr:col>3</xdr:col>
                    <xdr:colOff>1249680</xdr:colOff>
                    <xdr:row>4</xdr:row>
                    <xdr:rowOff>7620</xdr:rowOff>
                  </from>
                  <to>
                    <xdr:col>3</xdr:col>
                    <xdr:colOff>1584960</xdr:colOff>
                    <xdr:row>5</xdr:row>
                    <xdr:rowOff>68580</xdr:rowOff>
                  </to>
                </anchor>
              </controlPr>
            </control>
          </mc:Choice>
        </mc:AlternateContent>
        <mc:AlternateContent xmlns:mc="http://schemas.openxmlformats.org/markup-compatibility/2006">
          <mc:Choice Requires="x14">
            <control shapeId="1031" r:id="rId6" name="Option Button 7">
              <controlPr defaultSize="0" autoFill="0" autoLine="0" autoPict="0">
                <anchor moveWithCells="1">
                  <from>
                    <xdr:col>3</xdr:col>
                    <xdr:colOff>1249680</xdr:colOff>
                    <xdr:row>4</xdr:row>
                    <xdr:rowOff>198120</xdr:rowOff>
                  </from>
                  <to>
                    <xdr:col>3</xdr:col>
                    <xdr:colOff>1584960</xdr:colOff>
                    <xdr:row>6</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6D72F-E767-4F17-9DA0-1A218A61C02F}">
  <dimension ref="A1:O18"/>
  <sheetViews>
    <sheetView workbookViewId="0">
      <selection activeCell="A18" sqref="A18"/>
    </sheetView>
  </sheetViews>
  <sheetFormatPr defaultRowHeight="14.4" x14ac:dyDescent="0.3"/>
  <cols>
    <col min="1" max="1" width="25.109375" customWidth="1"/>
  </cols>
  <sheetData>
    <row r="1" spans="1:15" ht="21" x14ac:dyDescent="0.5">
      <c r="A1" s="11" t="s">
        <v>38</v>
      </c>
    </row>
    <row r="2" spans="1:15" x14ac:dyDescent="0.3">
      <c r="A2" s="50" t="s">
        <v>0</v>
      </c>
      <c r="B2" s="2">
        <v>0</v>
      </c>
      <c r="C2" s="2">
        <v>1</v>
      </c>
      <c r="D2" s="2">
        <v>2</v>
      </c>
      <c r="E2" s="2">
        <v>3</v>
      </c>
      <c r="F2" s="2">
        <v>4</v>
      </c>
      <c r="G2" s="2">
        <v>5</v>
      </c>
      <c r="H2" s="2">
        <v>6</v>
      </c>
      <c r="I2" s="2">
        <v>7</v>
      </c>
      <c r="J2" s="2">
        <v>8</v>
      </c>
      <c r="K2" s="2">
        <v>9</v>
      </c>
      <c r="L2" s="2">
        <v>10</v>
      </c>
      <c r="M2" s="2">
        <v>11</v>
      </c>
      <c r="N2" s="2">
        <v>12</v>
      </c>
      <c r="O2" s="2">
        <v>13</v>
      </c>
    </row>
    <row r="3" spans="1:15" x14ac:dyDescent="0.3">
      <c r="A3" s="50" t="s">
        <v>1</v>
      </c>
      <c r="B3" s="3">
        <f>Input!B11</f>
        <v>-5000000</v>
      </c>
      <c r="C3" s="3">
        <f>Input!B11</f>
        <v>-5000000</v>
      </c>
      <c r="D3" s="3"/>
      <c r="E3" s="3"/>
      <c r="F3" s="3"/>
      <c r="G3" s="3"/>
      <c r="H3" s="3"/>
      <c r="I3" s="3"/>
      <c r="J3" s="3"/>
      <c r="K3" s="3"/>
      <c r="L3" s="3"/>
      <c r="M3" s="3"/>
      <c r="N3" s="3"/>
      <c r="O3" s="3"/>
    </row>
    <row r="4" spans="1:15" x14ac:dyDescent="0.3">
      <c r="A4" s="50" t="s">
        <v>46</v>
      </c>
      <c r="B4" s="3"/>
      <c r="C4" s="3"/>
      <c r="D4" s="3">
        <f>Input!$C$3</f>
        <v>-50000</v>
      </c>
      <c r="E4" s="3">
        <f>Input!$C$3</f>
        <v>-50000</v>
      </c>
      <c r="F4" s="3">
        <f>Input!$C$3</f>
        <v>-50000</v>
      </c>
      <c r="G4" s="3">
        <f>Input!$C$3</f>
        <v>-50000</v>
      </c>
      <c r="H4" s="3">
        <f>Input!$C$3</f>
        <v>-50000</v>
      </c>
      <c r="I4" s="3"/>
      <c r="J4" s="3"/>
      <c r="K4" s="3">
        <f>-Input!$C$3</f>
        <v>50000</v>
      </c>
      <c r="L4" s="3">
        <f>-Input!$C$3</f>
        <v>50000</v>
      </c>
      <c r="M4" s="3">
        <f>-Input!$C$3</f>
        <v>50000</v>
      </c>
      <c r="N4" s="3">
        <f>-Input!$C$3</f>
        <v>50000</v>
      </c>
      <c r="O4" s="3">
        <f>-Input!$C$3</f>
        <v>50000</v>
      </c>
    </row>
    <row r="5" spans="1:15" x14ac:dyDescent="0.3">
      <c r="A5" s="50" t="s">
        <v>3</v>
      </c>
      <c r="B5" s="3"/>
      <c r="C5" s="3"/>
      <c r="D5" s="3">
        <f>Input!$B$13*Input!$B$16</f>
        <v>-500000</v>
      </c>
      <c r="E5" s="3">
        <f>Input!$B$13*Input!$B$16</f>
        <v>-500000</v>
      </c>
      <c r="F5" s="3">
        <f>Input!$B$13*Input!$B$16</f>
        <v>-500000</v>
      </c>
      <c r="G5" s="3">
        <f>Input!$B$13*Input!$C$19</f>
        <v>-750000</v>
      </c>
      <c r="H5" s="3">
        <f>Input!$B$13*Input!$C$19</f>
        <v>-750000</v>
      </c>
      <c r="I5" s="3">
        <f>Input!$B$13*Input!$C$19</f>
        <v>-750000</v>
      </c>
      <c r="J5" s="3">
        <f>Input!$B$13*Input!$C$19</f>
        <v>-750000</v>
      </c>
      <c r="K5" s="3">
        <f>Input!$B$13*Input!$C$19</f>
        <v>-750000</v>
      </c>
      <c r="L5" s="3">
        <f>Input!$B$13*Input!$C$19</f>
        <v>-750000</v>
      </c>
      <c r="M5" s="3">
        <f>Input!$B$13*Input!$C$19</f>
        <v>-750000</v>
      </c>
      <c r="N5" s="3">
        <f>Input!$B$13*Input!$C$19</f>
        <v>-750000</v>
      </c>
      <c r="O5" s="3">
        <f>Input!$B$13*Input!$C$19</f>
        <v>-750000</v>
      </c>
    </row>
    <row r="6" spans="1:15" x14ac:dyDescent="0.3">
      <c r="A6" s="50" t="s">
        <v>4</v>
      </c>
      <c r="B6" s="3"/>
      <c r="C6" s="3"/>
      <c r="D6" s="3">
        <f>Input!$B$16*Input!$B$14</f>
        <v>3000000</v>
      </c>
      <c r="E6" s="3">
        <f>Input!$B$16*Input!$B$14</f>
        <v>3000000</v>
      </c>
      <c r="F6" s="3">
        <f>Input!$B$16*Input!$B$14</f>
        <v>3000000</v>
      </c>
      <c r="G6" s="3">
        <f>Input!$C$19*Input!$B$14</f>
        <v>4500000</v>
      </c>
      <c r="H6" s="3">
        <f>Input!$C$19*Input!$B$14</f>
        <v>4500000</v>
      </c>
      <c r="I6" s="3">
        <f>Input!$C$19*Input!$B$14</f>
        <v>4500000</v>
      </c>
      <c r="J6" s="3">
        <f>Input!$C$19*Input!$B$14</f>
        <v>4500000</v>
      </c>
      <c r="K6" s="3">
        <f>Input!$C$19*Input!$B$14</f>
        <v>4500000</v>
      </c>
      <c r="L6" s="3">
        <f>Input!$C$19*Input!$B$14</f>
        <v>4500000</v>
      </c>
      <c r="M6" s="3">
        <f>Input!$C$19*Input!$B$14</f>
        <v>4500000</v>
      </c>
      <c r="N6" s="3">
        <f>Input!$C$19*Input!$B$14</f>
        <v>4500000</v>
      </c>
      <c r="O6" s="3">
        <f>Input!$C$19*Input!$B$14</f>
        <v>4500000</v>
      </c>
    </row>
    <row r="7" spans="1:15" x14ac:dyDescent="0.3">
      <c r="A7" s="50" t="s">
        <v>5</v>
      </c>
      <c r="B7" s="3"/>
      <c r="C7" s="3"/>
      <c r="D7" s="3">
        <f t="shared" ref="D7:O7" si="0">SUM(D3:D6)</f>
        <v>2450000</v>
      </c>
      <c r="E7" s="3">
        <f t="shared" si="0"/>
        <v>2450000</v>
      </c>
      <c r="F7" s="3">
        <f t="shared" si="0"/>
        <v>2450000</v>
      </c>
      <c r="G7" s="3">
        <f t="shared" si="0"/>
        <v>3700000</v>
      </c>
      <c r="H7" s="3">
        <f t="shared" si="0"/>
        <v>3700000</v>
      </c>
      <c r="I7" s="3">
        <f t="shared" si="0"/>
        <v>3750000</v>
      </c>
      <c r="J7" s="3">
        <f t="shared" si="0"/>
        <v>3750000</v>
      </c>
      <c r="K7" s="3">
        <f t="shared" si="0"/>
        <v>3800000</v>
      </c>
      <c r="L7" s="3">
        <f t="shared" si="0"/>
        <v>3800000</v>
      </c>
      <c r="M7" s="3">
        <f t="shared" si="0"/>
        <v>3800000</v>
      </c>
      <c r="N7" s="3">
        <f t="shared" si="0"/>
        <v>3800000</v>
      </c>
      <c r="O7" s="3">
        <f t="shared" si="0"/>
        <v>3800000</v>
      </c>
    </row>
    <row r="8" spans="1:15" x14ac:dyDescent="0.3">
      <c r="A8" s="50" t="s">
        <v>6</v>
      </c>
      <c r="B8" s="3"/>
      <c r="C8" s="3"/>
      <c r="D8" s="3">
        <f>Input!$B$10/Input!$B$22</f>
        <v>-769230.76923076925</v>
      </c>
      <c r="E8" s="3">
        <f>Input!$B$10/Input!$B$22</f>
        <v>-769230.76923076925</v>
      </c>
      <c r="F8" s="3">
        <f>Input!$B$10/Input!$B$22</f>
        <v>-769230.76923076925</v>
      </c>
      <c r="G8" s="3">
        <f>Input!$B$10/Input!$B$22</f>
        <v>-769230.76923076925</v>
      </c>
      <c r="H8" s="3">
        <f>Input!$B$10/Input!$B$22</f>
        <v>-769230.76923076925</v>
      </c>
      <c r="I8" s="3">
        <f>Input!$B$10/Input!$B$22</f>
        <v>-769230.76923076925</v>
      </c>
      <c r="J8" s="3">
        <f>Input!$B$10/Input!$B$22</f>
        <v>-769230.76923076925</v>
      </c>
      <c r="K8" s="3">
        <f>Input!$B$10/Input!$B$22</f>
        <v>-769230.76923076925</v>
      </c>
      <c r="L8" s="3">
        <f>Input!$B$10/Input!$B$22</f>
        <v>-769230.76923076925</v>
      </c>
      <c r="M8" s="3">
        <f>Input!$B$10/Input!$B$22</f>
        <v>-769230.76923076925</v>
      </c>
      <c r="N8" s="3">
        <f>Input!$B$10/Input!$B$22</f>
        <v>-769230.76923076925</v>
      </c>
      <c r="O8" s="3">
        <f>Input!$B$10/Input!$B$22</f>
        <v>-769230.76923076925</v>
      </c>
    </row>
    <row r="9" spans="1:15" x14ac:dyDescent="0.3">
      <c r="A9" s="50" t="s">
        <v>7</v>
      </c>
      <c r="B9" s="3"/>
      <c r="C9" s="3"/>
      <c r="D9" s="3"/>
      <c r="E9" s="3"/>
      <c r="F9" s="3"/>
      <c r="G9" s="3"/>
      <c r="H9" s="3"/>
      <c r="I9" s="3"/>
      <c r="J9" s="3"/>
      <c r="K9" s="3"/>
      <c r="L9" s="3"/>
      <c r="M9" s="3"/>
      <c r="N9" s="3"/>
      <c r="O9" s="3">
        <f>-Input!B10/Input!B22</f>
        <v>769230.76923076925</v>
      </c>
    </row>
    <row r="10" spans="1:15" x14ac:dyDescent="0.3">
      <c r="A10" s="50" t="s">
        <v>8</v>
      </c>
      <c r="B10" s="3"/>
      <c r="C10" s="3"/>
      <c r="D10" s="3">
        <f t="shared" ref="D10:O10" si="1">SUM(D7:D8)</f>
        <v>1680769.2307692308</v>
      </c>
      <c r="E10" s="3">
        <f t="shared" si="1"/>
        <v>1680769.2307692308</v>
      </c>
      <c r="F10" s="3">
        <f t="shared" si="1"/>
        <v>1680769.2307692308</v>
      </c>
      <c r="G10" s="3">
        <f t="shared" si="1"/>
        <v>2930769.230769231</v>
      </c>
      <c r="H10" s="3">
        <f t="shared" si="1"/>
        <v>2930769.230769231</v>
      </c>
      <c r="I10" s="3">
        <f t="shared" si="1"/>
        <v>2980769.230769231</v>
      </c>
      <c r="J10" s="3">
        <f t="shared" si="1"/>
        <v>2980769.230769231</v>
      </c>
      <c r="K10" s="3">
        <f t="shared" si="1"/>
        <v>3030769.230769231</v>
      </c>
      <c r="L10" s="3">
        <f t="shared" si="1"/>
        <v>3030769.230769231</v>
      </c>
      <c r="M10" s="3">
        <f t="shared" si="1"/>
        <v>3030769.230769231</v>
      </c>
      <c r="N10" s="3">
        <f t="shared" si="1"/>
        <v>3030769.230769231</v>
      </c>
      <c r="O10" s="3">
        <f t="shared" si="1"/>
        <v>3030769.230769231</v>
      </c>
    </row>
    <row r="11" spans="1:15" x14ac:dyDescent="0.3">
      <c r="A11" s="50" t="s">
        <v>9</v>
      </c>
      <c r="B11" s="3"/>
      <c r="C11" s="3"/>
      <c r="D11" s="3">
        <f>D10*(-Input!$C$9)</f>
        <v>-168076.92307692309</v>
      </c>
      <c r="E11" s="3">
        <f>E10*(-Input!$C$9)</f>
        <v>-168076.92307692309</v>
      </c>
      <c r="F11" s="3">
        <f>F10*(-Input!$C$9)</f>
        <v>-168076.92307692309</v>
      </c>
      <c r="G11" s="3">
        <f>G10*(-Input!$C$9)</f>
        <v>-293076.92307692312</v>
      </c>
      <c r="H11" s="3">
        <f>H10*(-Input!$C$9)</f>
        <v>-293076.92307692312</v>
      </c>
      <c r="I11" s="3">
        <f>I10*(-Input!$C$9)</f>
        <v>-298076.92307692312</v>
      </c>
      <c r="J11" s="3">
        <f>J10*(-Input!$C$9)</f>
        <v>-298076.92307692312</v>
      </c>
      <c r="K11" s="3">
        <f>K10*(-Input!$C$9)</f>
        <v>-303076.92307692312</v>
      </c>
      <c r="L11" s="3">
        <f>L10*(-Input!$C$9)</f>
        <v>-303076.92307692312</v>
      </c>
      <c r="M11" s="3">
        <f>M10*(-Input!$C$9)</f>
        <v>-303076.92307692312</v>
      </c>
      <c r="N11" s="3">
        <f>N10*(-Input!$C$9)</f>
        <v>-303076.92307692312</v>
      </c>
      <c r="O11" s="3">
        <f>O10*(-Input!$C$9)</f>
        <v>-303076.92307692312</v>
      </c>
    </row>
    <row r="12" spans="1:15" x14ac:dyDescent="0.3">
      <c r="A12" s="50" t="s">
        <v>10</v>
      </c>
      <c r="B12" s="3"/>
      <c r="C12" s="3"/>
      <c r="D12" s="3">
        <f t="shared" ref="D12:O12" si="2">SUM(D10:D11)</f>
        <v>1512692.3076923077</v>
      </c>
      <c r="E12" s="3">
        <f t="shared" si="2"/>
        <v>1512692.3076923077</v>
      </c>
      <c r="F12" s="3">
        <f t="shared" si="2"/>
        <v>1512692.3076923077</v>
      </c>
      <c r="G12" s="3">
        <f t="shared" si="2"/>
        <v>2637692.307692308</v>
      </c>
      <c r="H12" s="3">
        <f t="shared" si="2"/>
        <v>2637692.307692308</v>
      </c>
      <c r="I12" s="3">
        <f t="shared" si="2"/>
        <v>2682692.307692308</v>
      </c>
      <c r="J12" s="3">
        <f t="shared" si="2"/>
        <v>2682692.307692308</v>
      </c>
      <c r="K12" s="3">
        <f t="shared" si="2"/>
        <v>2727692.307692308</v>
      </c>
      <c r="L12" s="3">
        <f t="shared" si="2"/>
        <v>2727692.307692308</v>
      </c>
      <c r="M12" s="3">
        <f t="shared" si="2"/>
        <v>2727692.307692308</v>
      </c>
      <c r="N12" s="3">
        <f t="shared" si="2"/>
        <v>2727692.307692308</v>
      </c>
      <c r="O12" s="3">
        <f t="shared" si="2"/>
        <v>2727692.307692308</v>
      </c>
    </row>
    <row r="13" spans="1:15" x14ac:dyDescent="0.3">
      <c r="A13" s="50" t="s">
        <v>11</v>
      </c>
      <c r="B13" s="3">
        <f t="shared" ref="B13:O13" si="3">SUM(B3,B4,B5,B6,B9,B11)</f>
        <v>-5000000</v>
      </c>
      <c r="C13" s="3">
        <f t="shared" si="3"/>
        <v>-5000000</v>
      </c>
      <c r="D13" s="3">
        <f t="shared" si="3"/>
        <v>2281923.076923077</v>
      </c>
      <c r="E13" s="3">
        <f t="shared" si="3"/>
        <v>2281923.076923077</v>
      </c>
      <c r="F13" s="3">
        <f t="shared" si="3"/>
        <v>2281923.076923077</v>
      </c>
      <c r="G13" s="3">
        <f t="shared" si="3"/>
        <v>3406923.076923077</v>
      </c>
      <c r="H13" s="3">
        <f t="shared" si="3"/>
        <v>3406923.076923077</v>
      </c>
      <c r="I13" s="3">
        <f t="shared" si="3"/>
        <v>3451923.076923077</v>
      </c>
      <c r="J13" s="3">
        <f t="shared" si="3"/>
        <v>3451923.076923077</v>
      </c>
      <c r="K13" s="3">
        <f t="shared" si="3"/>
        <v>3496923.076923077</v>
      </c>
      <c r="L13" s="3">
        <f t="shared" si="3"/>
        <v>3496923.076923077</v>
      </c>
      <c r="M13" s="3">
        <f t="shared" si="3"/>
        <v>3496923.076923077</v>
      </c>
      <c r="N13" s="3">
        <f t="shared" si="3"/>
        <v>3496923.076923077</v>
      </c>
      <c r="O13" s="3">
        <f t="shared" si="3"/>
        <v>4266153.846153846</v>
      </c>
    </row>
    <row r="14" spans="1:15" x14ac:dyDescent="0.3">
      <c r="A14" s="50" t="s">
        <v>12</v>
      </c>
      <c r="B14" s="3">
        <f>B13/(1+Input!$C$7)^B2</f>
        <v>-5000000</v>
      </c>
      <c r="C14" s="3">
        <f>C13/(1+Input!$C$7)^C2</f>
        <v>-4818181.8181818184</v>
      </c>
      <c r="D14" s="3">
        <f>D13/(1+Input!$C$7)^D2</f>
        <v>2118982.4539097268</v>
      </c>
      <c r="E14" s="3">
        <f>E13/(1+Input!$C$7)^E2</f>
        <v>2041928.5464948276</v>
      </c>
      <c r="F14" s="3">
        <f>F13/(1+Input!$C$7)^F2</f>
        <v>1967676.5993495607</v>
      </c>
      <c r="G14" s="3">
        <f>G13/(1+Input!$C$7)^G2</f>
        <v>2830924.118728945</v>
      </c>
      <c r="H14" s="3">
        <f>H13/(1+Input!$C$7)^H2</f>
        <v>2727981.4235024378</v>
      </c>
      <c r="I14" s="3">
        <f>I13/(1+Input!$C$7)^I2</f>
        <v>2663504.1023512841</v>
      </c>
      <c r="J14" s="3">
        <f>J13/(1+Input!$C$7)^J2</f>
        <v>2566649.4077203283</v>
      </c>
      <c r="K14" s="3">
        <f>K13/(1+Input!$C$7)^K2</f>
        <v>2505559.3821111992</v>
      </c>
      <c r="L14" s="3">
        <f>L13/(1+Input!$C$7)^L2</f>
        <v>2414448.1318526105</v>
      </c>
      <c r="M14" s="3">
        <f>M13/(1+Input!$C$7)^M2</f>
        <v>2326650.0179670607</v>
      </c>
      <c r="N14" s="3">
        <f>N13/(1+Input!$C$7)^N2</f>
        <v>2242044.5627682582</v>
      </c>
      <c r="O14" s="3">
        <f>O13/(1+Input!$C$7)^O2</f>
        <v>2635772.0861135712</v>
      </c>
    </row>
    <row r="15" spans="1:15" x14ac:dyDescent="0.3">
      <c r="A15" s="50" t="s">
        <v>13</v>
      </c>
      <c r="B15" s="3">
        <f>SUM($B$14:B14)</f>
        <v>-5000000</v>
      </c>
      <c r="C15" s="3">
        <f>SUM($B$14:C14)</f>
        <v>-9818181.8181818184</v>
      </c>
      <c r="D15" s="3">
        <f>SUM($B$14:D14)</f>
        <v>-7699199.3642720915</v>
      </c>
      <c r="E15" s="3">
        <f>SUM($B$14:E14)</f>
        <v>-5657270.8177772639</v>
      </c>
      <c r="F15" s="3">
        <f>SUM($B$14:F14)</f>
        <v>-3689594.2184277033</v>
      </c>
      <c r="G15" s="3">
        <f>SUM($B$14:G14)</f>
        <v>-858670.09969875822</v>
      </c>
      <c r="H15" s="3">
        <f>SUM($B$14:H14)</f>
        <v>1869311.3238036796</v>
      </c>
      <c r="I15" s="3">
        <f>SUM($B$14:I14)</f>
        <v>4532815.4261549637</v>
      </c>
      <c r="J15" s="3">
        <f>SUM($B$14:J14)</f>
        <v>7099464.833875292</v>
      </c>
      <c r="K15" s="3">
        <f>SUM($B$14:K14)</f>
        <v>9605024.2159864902</v>
      </c>
      <c r="L15" s="3">
        <f>SUM($B$14:L14)</f>
        <v>12019472.3478391</v>
      </c>
      <c r="M15" s="3">
        <f>SUM($B$14:M14)</f>
        <v>14346122.36580616</v>
      </c>
      <c r="N15" s="3">
        <f>SUM($B$14:N14)</f>
        <v>16588166.928574419</v>
      </c>
      <c r="O15" s="3">
        <f>SUM($B$14:O14)</f>
        <v>19223939.014687989</v>
      </c>
    </row>
    <row r="16" spans="1:15" x14ac:dyDescent="0.3">
      <c r="A16" s="49"/>
    </row>
    <row r="18" spans="1:1" x14ac:dyDescent="0.3">
      <c r="A18" s="49"/>
    </row>
  </sheetData>
  <conditionalFormatting sqref="B3:O15">
    <cfRule type="cellIs" dxfId="1" priority="2" operator="lessThan">
      <formula>0</formula>
    </cfRule>
    <cfRule type="cellIs" dxfId="0" priority="3" operator="greaterThan">
      <formula>0</formula>
    </cfRule>
  </conditionalFormatting>
  <conditionalFormatting sqref="C2:O15">
    <cfRule type="colorScale" priority="1">
      <colorScale>
        <cfvo type="min"/>
        <cfvo type="percentile" val="50"/>
        <cfvo type="max"/>
        <color rgb="FF63BE7B"/>
        <color rgb="FFFCFCFF"/>
        <color rgb="FFF8696B"/>
      </colorScale>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8E2FD-514C-4894-97EE-6E059F2B4600}">
  <sheetPr codeName="Sheet2"/>
  <dimension ref="B1:AC38"/>
  <sheetViews>
    <sheetView tabSelected="1" zoomScale="85" zoomScaleNormal="85" workbookViewId="0">
      <selection activeCell="D12" sqref="D12"/>
    </sheetView>
  </sheetViews>
  <sheetFormatPr defaultRowHeight="14.4" x14ac:dyDescent="0.3"/>
  <cols>
    <col min="3" max="3" width="8.88671875" customWidth="1"/>
    <col min="4" max="4" width="12.44140625" customWidth="1"/>
    <col min="5" max="5" width="17.88671875" customWidth="1"/>
    <col min="6" max="6" width="9" bestFit="1" customWidth="1"/>
    <col min="7" max="7" width="12.44140625" bestFit="1" customWidth="1"/>
    <col min="9" max="9" width="11" customWidth="1"/>
  </cols>
  <sheetData>
    <row r="1" spans="2:29" ht="17.399999999999999" x14ac:dyDescent="0.3">
      <c r="D1" s="56" t="s">
        <v>43</v>
      </c>
      <c r="E1" s="56"/>
      <c r="H1" s="52" t="s">
        <v>44</v>
      </c>
      <c r="I1" s="49"/>
    </row>
    <row r="2" spans="2:29" x14ac:dyDescent="0.3">
      <c r="D2" s="51" t="s">
        <v>1</v>
      </c>
      <c r="E2" s="51">
        <f>Input!B10</f>
        <v>-10000000</v>
      </c>
      <c r="H2" s="53" t="s">
        <v>39</v>
      </c>
      <c r="I2" s="53">
        <f>NPV(Input!C7,Calculation!C13:O13)+Calculation!B14</f>
        <v>19223939.014688</v>
      </c>
      <c r="S2" s="5"/>
      <c r="T2" s="5"/>
      <c r="U2" s="5"/>
      <c r="V2" s="5"/>
      <c r="W2" s="5"/>
      <c r="X2" s="7"/>
      <c r="Y2" s="5"/>
      <c r="Z2" s="5"/>
      <c r="AA2" s="5"/>
      <c r="AB2" s="5"/>
      <c r="AC2" s="5"/>
    </row>
    <row r="3" spans="2:29" x14ac:dyDescent="0.3">
      <c r="B3">
        <v>1</v>
      </c>
      <c r="D3" s="51" t="s">
        <v>40</v>
      </c>
      <c r="E3" s="51">
        <f>Input!B14</f>
        <v>3</v>
      </c>
      <c r="H3" s="53" t="s">
        <v>40</v>
      </c>
      <c r="I3" s="54">
        <f>IRR(Calculation!B13:O13)</f>
        <v>0.23637448047774989</v>
      </c>
      <c r="K3" t="s">
        <v>40</v>
      </c>
      <c r="L3" t="s">
        <v>40</v>
      </c>
      <c r="M3" t="s">
        <v>40</v>
      </c>
      <c r="X3" s="7"/>
    </row>
    <row r="4" spans="2:29" x14ac:dyDescent="0.3">
      <c r="D4" s="51" t="s">
        <v>45</v>
      </c>
      <c r="E4" s="51">
        <f>Input!B16</f>
        <v>1000000</v>
      </c>
      <c r="H4" s="53" t="s">
        <v>41</v>
      </c>
      <c r="I4" s="53">
        <f>I2/-SUM(Calculation!B3:C3)+1</f>
        <v>2.9223939014688001</v>
      </c>
      <c r="X4" s="7"/>
    </row>
    <row r="5" spans="2:29" x14ac:dyDescent="0.3">
      <c r="D5" s="49"/>
      <c r="E5" s="49"/>
      <c r="H5" s="53" t="s">
        <v>42</v>
      </c>
      <c r="I5" s="53" cm="1">
        <f t="array" ref="I5">_xlfn.IFNA(LOOKUP(0,Calculation!$B$15:$O$15,(Calculation!B2:O2)-(Calculation!B15:O15/Calculation!C14:O14)),"")</f>
        <v>5.3147639101575397</v>
      </c>
      <c r="X5" s="7"/>
    </row>
    <row r="6" spans="2:29" x14ac:dyDescent="0.3">
      <c r="D6" s="51" t="s">
        <v>1</v>
      </c>
      <c r="E6" s="51">
        <v>-15853722.021206699</v>
      </c>
      <c r="X6" s="7"/>
    </row>
    <row r="7" spans="2:29" x14ac:dyDescent="0.3">
      <c r="D7" s="51" t="s">
        <v>47</v>
      </c>
      <c r="E7" s="51">
        <v>1.4483803043633301</v>
      </c>
      <c r="X7" s="7"/>
    </row>
    <row r="8" spans="2:29" x14ac:dyDescent="0.3">
      <c r="D8" s="51" t="s">
        <v>45</v>
      </c>
      <c r="E8" s="51">
        <v>632253.53624222102</v>
      </c>
      <c r="X8" s="7"/>
    </row>
    <row r="9" spans="2:29" x14ac:dyDescent="0.3">
      <c r="X9" s="7"/>
    </row>
    <row r="10" spans="2:29" x14ac:dyDescent="0.3">
      <c r="X10" s="7"/>
    </row>
    <row r="11" spans="2:29" x14ac:dyDescent="0.3">
      <c r="X11" s="7"/>
    </row>
    <row r="12" spans="2:29" x14ac:dyDescent="0.3">
      <c r="X12" s="7"/>
    </row>
    <row r="13" spans="2:29" x14ac:dyDescent="0.3">
      <c r="X13" s="7"/>
    </row>
    <row r="14" spans="2:29" x14ac:dyDescent="0.3">
      <c r="X14" s="7"/>
    </row>
    <row r="15" spans="2:29" x14ac:dyDescent="0.3">
      <c r="X15" s="7"/>
    </row>
    <row r="16" spans="2:29" x14ac:dyDescent="0.3">
      <c r="X16" s="7"/>
    </row>
    <row r="17" spans="2:24" x14ac:dyDescent="0.3">
      <c r="X17" s="7"/>
    </row>
    <row r="18" spans="2:24" x14ac:dyDescent="0.3">
      <c r="X18" s="7"/>
    </row>
    <row r="19" spans="2:24" x14ac:dyDescent="0.3">
      <c r="X19" s="7"/>
    </row>
    <row r="20" spans="2:24" x14ac:dyDescent="0.3">
      <c r="X20" s="7"/>
    </row>
    <row r="25" spans="2:24" ht="15" thickBot="1" x14ac:dyDescent="0.35"/>
    <row r="26" spans="2:24" ht="15.6" x14ac:dyDescent="0.3">
      <c r="B26" s="17" t="s">
        <v>59</v>
      </c>
      <c r="C26" s="17"/>
      <c r="D26" s="18"/>
      <c r="E26" s="18"/>
      <c r="F26" s="18"/>
      <c r="G26" s="18"/>
    </row>
    <row r="27" spans="2:24" ht="15.6" x14ac:dyDescent="0.3">
      <c r="B27" s="19"/>
      <c r="C27" s="19"/>
      <c r="D27" s="20" t="s">
        <v>61</v>
      </c>
      <c r="E27" s="20" t="s">
        <v>55</v>
      </c>
      <c r="F27" s="20" t="s">
        <v>57</v>
      </c>
      <c r="G27" s="20" t="s">
        <v>58</v>
      </c>
    </row>
    <row r="28" spans="2:24" ht="51" x14ac:dyDescent="0.3">
      <c r="B28" s="21"/>
      <c r="C28" s="21"/>
      <c r="E28" s="31" t="s">
        <v>56</v>
      </c>
      <c r="F28" s="31" t="s">
        <v>56</v>
      </c>
      <c r="G28" s="31" t="s">
        <v>56</v>
      </c>
    </row>
    <row r="29" spans="2:24" x14ac:dyDescent="0.3">
      <c r="B29" s="23" t="s">
        <v>60</v>
      </c>
      <c r="C29" s="23"/>
      <c r="D29" s="8"/>
      <c r="E29" s="8"/>
      <c r="F29" s="8"/>
      <c r="G29" s="8"/>
    </row>
    <row r="30" spans="2:24" x14ac:dyDescent="0.3">
      <c r="B30" s="21"/>
      <c r="C30" s="24" t="s">
        <v>52</v>
      </c>
      <c r="D30" s="25">
        <v>0.04</v>
      </c>
      <c r="E30" s="26">
        <v>0.02</v>
      </c>
      <c r="F30" s="26">
        <v>0.04</v>
      </c>
      <c r="G30" s="26">
        <v>0.06</v>
      </c>
    </row>
    <row r="31" spans="2:24" x14ac:dyDescent="0.3">
      <c r="B31" s="21"/>
      <c r="C31" s="24" t="s">
        <v>53</v>
      </c>
      <c r="D31" s="25">
        <v>2</v>
      </c>
      <c r="E31" s="26">
        <v>1</v>
      </c>
      <c r="F31" s="26">
        <v>2</v>
      </c>
      <c r="G31" s="26">
        <v>3</v>
      </c>
    </row>
    <row r="32" spans="2:24" x14ac:dyDescent="0.3">
      <c r="B32" s="21"/>
      <c r="C32" s="24" t="s">
        <v>54</v>
      </c>
      <c r="D32" s="25">
        <v>0.2</v>
      </c>
      <c r="E32" s="26">
        <v>0.3</v>
      </c>
      <c r="F32" s="26">
        <v>0.2</v>
      </c>
      <c r="G32" s="26">
        <v>0.1</v>
      </c>
    </row>
    <row r="33" spans="2:7" x14ac:dyDescent="0.3">
      <c r="B33" s="23" t="s">
        <v>62</v>
      </c>
      <c r="C33" s="27"/>
      <c r="D33" s="28"/>
      <c r="E33" s="28"/>
      <c r="F33" s="28"/>
      <c r="G33" s="28"/>
    </row>
    <row r="34" spans="2:7" ht="15" thickBot="1" x14ac:dyDescent="0.35">
      <c r="B34" s="22"/>
      <c r="C34" s="29" t="s">
        <v>66</v>
      </c>
      <c r="D34" s="30">
        <v>4753935.0469984198</v>
      </c>
      <c r="E34" s="30">
        <v>-4496412.9659573697</v>
      </c>
      <c r="F34" s="30">
        <v>4753935.0469984198</v>
      </c>
      <c r="G34" s="30">
        <v>19223939.014688</v>
      </c>
    </row>
    <row r="35" spans="2:7" x14ac:dyDescent="0.3">
      <c r="B35" s="32" t="s">
        <v>63</v>
      </c>
      <c r="C35" s="32"/>
      <c r="D35" s="32"/>
      <c r="E35" s="32"/>
      <c r="F35" s="32"/>
      <c r="G35" s="32"/>
    </row>
    <row r="36" spans="2:7" x14ac:dyDescent="0.3">
      <c r="B36" s="32" t="s">
        <v>64</v>
      </c>
      <c r="C36" s="32"/>
      <c r="D36" s="32"/>
      <c r="E36" s="32"/>
      <c r="F36" s="32"/>
      <c r="G36" s="32"/>
    </row>
    <row r="37" spans="2:7" x14ac:dyDescent="0.3">
      <c r="B37" s="32" t="s">
        <v>65</v>
      </c>
      <c r="C37" s="32"/>
      <c r="D37" s="32"/>
      <c r="E37" s="32"/>
      <c r="F37" s="32"/>
      <c r="G37" s="32"/>
    </row>
    <row r="38" spans="2:7" x14ac:dyDescent="0.3">
      <c r="B38" s="32"/>
      <c r="C38" s="32"/>
      <c r="D38" s="32"/>
      <c r="E38" s="32"/>
      <c r="F38" s="32"/>
      <c r="G38" s="32"/>
    </row>
  </sheetData>
  <mergeCells count="1">
    <mergeCell ref="D1:E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_xludf.break">
                <anchor moveWithCells="1" sizeWithCells="1">
                  <from>
                    <xdr:col>1</xdr:col>
                    <xdr:colOff>76200</xdr:colOff>
                    <xdr:row>1</xdr:row>
                    <xdr:rowOff>60960</xdr:rowOff>
                  </from>
                  <to>
                    <xdr:col>2</xdr:col>
                    <xdr:colOff>190500</xdr:colOff>
                    <xdr:row>2</xdr:row>
                    <xdr:rowOff>182880</xdr:rowOff>
                  </to>
                </anchor>
              </controlPr>
            </control>
          </mc:Choice>
        </mc:AlternateContent>
        <mc:AlternateContent xmlns:mc="http://schemas.openxmlformats.org/markup-compatibility/2006">
          <mc:Choice Requires="x14">
            <control shapeId="2051" r:id="rId4" name="Button 3">
              <controlPr defaultSize="0" print="0" autoFill="0" autoPict="0" macro="[0]!ThisWorkbook.Sensitivity">
                <anchor moveWithCells="1" sizeWithCells="1">
                  <from>
                    <xdr:col>14</xdr:col>
                    <xdr:colOff>152400</xdr:colOff>
                    <xdr:row>21</xdr:row>
                    <xdr:rowOff>99060</xdr:rowOff>
                  </from>
                  <to>
                    <xdr:col>16</xdr:col>
                    <xdr:colOff>312420</xdr:colOff>
                    <xdr:row>24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BEAB5-1797-4D52-881B-77EF0F750CDC}">
  <sheetPr codeName="Sheet3"/>
  <dimension ref="A1:Y31"/>
  <sheetViews>
    <sheetView zoomScale="85" zoomScaleNormal="85" workbookViewId="0">
      <selection activeCell="P10" sqref="P10"/>
    </sheetView>
  </sheetViews>
  <sheetFormatPr defaultRowHeight="14.4" x14ac:dyDescent="0.3"/>
  <cols>
    <col min="1" max="1" width="25.5546875" customWidth="1"/>
    <col min="3" max="4" width="10.33203125" bestFit="1" customWidth="1"/>
    <col min="5" max="7" width="9.5546875" bestFit="1" customWidth="1"/>
    <col min="8" max="8" width="15.21875" style="7" bestFit="1" customWidth="1"/>
    <col min="9" max="11" width="9.5546875" bestFit="1" customWidth="1"/>
    <col min="12" max="12" width="10.5546875" bestFit="1" customWidth="1"/>
    <col min="13" max="13" width="16.44140625" customWidth="1"/>
    <col min="15" max="17" width="7.109375" bestFit="1" customWidth="1"/>
    <col min="18" max="18" width="7.109375" customWidth="1"/>
    <col min="19" max="25" width="7.109375" bestFit="1" customWidth="1"/>
  </cols>
  <sheetData>
    <row r="1" spans="1:25" x14ac:dyDescent="0.3">
      <c r="C1" s="45"/>
      <c r="D1" s="46" t="s">
        <v>39</v>
      </c>
      <c r="E1" s="47"/>
      <c r="F1" s="47"/>
      <c r="G1" s="47"/>
      <c r="H1" s="48"/>
      <c r="I1" s="47"/>
      <c r="J1" s="47"/>
      <c r="K1" s="47"/>
      <c r="L1" s="47"/>
      <c r="M1" s="47"/>
      <c r="O1" s="45" t="s">
        <v>49</v>
      </c>
      <c r="P1" s="47"/>
      <c r="Q1" s="47"/>
      <c r="R1" s="47"/>
      <c r="S1" s="47"/>
      <c r="T1" s="47"/>
      <c r="U1" s="47"/>
      <c r="V1" s="47"/>
      <c r="W1" s="47"/>
      <c r="X1" s="47"/>
      <c r="Y1" s="47"/>
    </row>
    <row r="2" spans="1:25" x14ac:dyDescent="0.3">
      <c r="A2" s="33" t="s">
        <v>50</v>
      </c>
      <c r="B2" s="34"/>
      <c r="C2" s="35">
        <v>-0.5</v>
      </c>
      <c r="D2" s="35">
        <v>-0.4</v>
      </c>
      <c r="E2" s="35">
        <v>-0.3</v>
      </c>
      <c r="F2" s="35">
        <v>-0.2</v>
      </c>
      <c r="G2" s="35">
        <v>-0.1</v>
      </c>
      <c r="H2" s="36">
        <v>0</v>
      </c>
      <c r="I2" s="35">
        <v>0.1</v>
      </c>
      <c r="J2" s="35">
        <v>0.2</v>
      </c>
      <c r="K2" s="35">
        <v>0.3</v>
      </c>
      <c r="L2" s="35">
        <v>0.4</v>
      </c>
      <c r="M2" s="35">
        <v>0.5</v>
      </c>
      <c r="N2" s="34"/>
      <c r="O2" s="35">
        <v>-0.5</v>
      </c>
      <c r="P2" s="35">
        <v>-0.4</v>
      </c>
      <c r="Q2" s="35">
        <v>-0.3</v>
      </c>
      <c r="R2" s="35">
        <v>-0.2</v>
      </c>
      <c r="S2" s="35">
        <v>-0.1</v>
      </c>
      <c r="T2" s="35">
        <v>0</v>
      </c>
      <c r="U2" s="35">
        <v>0.1</v>
      </c>
      <c r="V2" s="35">
        <v>0.2</v>
      </c>
      <c r="W2" s="35">
        <v>0.3</v>
      </c>
      <c r="X2" s="35">
        <v>0.4</v>
      </c>
      <c r="Y2" s="35">
        <v>0.5</v>
      </c>
    </row>
    <row r="3" spans="1:25" x14ac:dyDescent="0.3">
      <c r="A3" s="37" t="s">
        <v>30</v>
      </c>
      <c r="B3" s="38">
        <v>1</v>
      </c>
      <c r="C3" s="39">
        <v>5745806.3837568462</v>
      </c>
      <c r="D3" s="39">
        <v>5547432.1164051574</v>
      </c>
      <c r="E3" s="39">
        <v>5349057.849053476</v>
      </c>
      <c r="F3" s="39">
        <v>5150683.5817017909</v>
      </c>
      <c r="G3" s="39">
        <v>4952309.314350104</v>
      </c>
      <c r="H3" s="40">
        <f>Output!$I$2</f>
        <v>19223939.014688</v>
      </c>
      <c r="I3" s="39">
        <v>4555560.7796467338</v>
      </c>
      <c r="J3" s="39">
        <v>4357186.5122950505</v>
      </c>
      <c r="K3" s="39">
        <v>4158812.2449433655</v>
      </c>
      <c r="L3" s="39">
        <v>3960437.9775916822</v>
      </c>
      <c r="M3" s="34">
        <v>3762063.7102399971</v>
      </c>
      <c r="N3" s="41"/>
      <c r="O3" s="42">
        <v>1.5745806383756846</v>
      </c>
      <c r="P3" s="42">
        <v>1.5547432116405158</v>
      </c>
      <c r="Q3" s="42">
        <v>1.5349057849053476</v>
      </c>
      <c r="R3" s="42">
        <v>1.5150683581701792</v>
      </c>
      <c r="S3" s="42">
        <v>1.4952309314350103</v>
      </c>
      <c r="T3" s="43">
        <f>Output!$I$4</f>
        <v>2.9223939014688001</v>
      </c>
      <c r="U3" s="42">
        <v>1.4555560779646735</v>
      </c>
      <c r="V3" s="42">
        <v>1.435718651229505</v>
      </c>
      <c r="W3" s="42">
        <v>1.4158812244943366</v>
      </c>
      <c r="X3" s="42">
        <v>1.3960437977591682</v>
      </c>
      <c r="Y3" s="42">
        <v>1.3762063710239998</v>
      </c>
    </row>
    <row r="4" spans="1:25" x14ac:dyDescent="0.3">
      <c r="A4" s="37" t="s">
        <v>51</v>
      </c>
      <c r="B4" s="38">
        <v>1</v>
      </c>
      <c r="C4" s="39">
        <v>8020361.1445066631</v>
      </c>
      <c r="D4" s="39">
        <v>7288892.3352164011</v>
      </c>
      <c r="E4" s="39">
        <v>6599146.4628716316</v>
      </c>
      <c r="F4" s="39">
        <v>5948394.2429257222</v>
      </c>
      <c r="G4" s="39">
        <v>5334105.8653927799</v>
      </c>
      <c r="H4" s="40">
        <f>Output!$I$2</f>
        <v>19223939.014688</v>
      </c>
      <c r="I4" s="39">
        <v>4205704.4584616553</v>
      </c>
      <c r="J4" s="39">
        <v>3687392.4002709929</v>
      </c>
      <c r="K4" s="39">
        <v>3197120.6126844473</v>
      </c>
      <c r="L4" s="39">
        <v>2733143.1167760901</v>
      </c>
      <c r="M4" s="39">
        <v>2293835.9933087677</v>
      </c>
      <c r="N4" s="41"/>
      <c r="O4" s="44">
        <v>1.8020361144506665</v>
      </c>
      <c r="P4" s="44">
        <v>1.7288892335216401</v>
      </c>
      <c r="Q4" s="44">
        <v>1.659914646287163</v>
      </c>
      <c r="R4" s="44">
        <v>1.5948394242925721</v>
      </c>
      <c r="S4" s="44">
        <v>1.533410586539278</v>
      </c>
      <c r="T4" s="43">
        <f>Output!$I$4</f>
        <v>2.9223939014688001</v>
      </c>
      <c r="U4" s="44">
        <v>1.4205704458461654</v>
      </c>
      <c r="V4" s="44">
        <v>1.3687392400270992</v>
      </c>
      <c r="W4" s="44">
        <v>1.3197120612684448</v>
      </c>
      <c r="X4" s="44">
        <v>1.2733143116776091</v>
      </c>
      <c r="Y4" s="44">
        <v>1.2293835993308768</v>
      </c>
    </row>
    <row r="5" spans="1:25" x14ac:dyDescent="0.3">
      <c r="A5" s="55" t="s">
        <v>29</v>
      </c>
      <c r="B5" s="38">
        <v>1</v>
      </c>
      <c r="C5" s="39">
        <v>2918098.1015942656</v>
      </c>
      <c r="D5" s="39">
        <v>3261934.9499691287</v>
      </c>
      <c r="E5" s="39">
        <v>3617068.7084188275</v>
      </c>
      <c r="F5" s="39">
        <v>3983862.0132023059</v>
      </c>
      <c r="G5" s="39">
        <v>4362688.8812780511</v>
      </c>
      <c r="H5" s="40">
        <f>Output!$I$2</f>
        <v>19223939.014688</v>
      </c>
      <c r="I5" s="39">
        <v>5157998.3079355974</v>
      </c>
      <c r="J5" s="39">
        <v>5575288.8800604604</v>
      </c>
      <c r="K5" s="39">
        <v>6006229.7625002619</v>
      </c>
      <c r="L5" s="39">
        <v>6451257.1121058725</v>
      </c>
      <c r="M5" s="39">
        <v>6910820.6280643996</v>
      </c>
      <c r="N5" s="41"/>
      <c r="O5" s="44">
        <v>1.2918098101594264</v>
      </c>
      <c r="P5" s="44">
        <v>1.3261934949969127</v>
      </c>
      <c r="Q5" s="44">
        <v>1.3617068708418827</v>
      </c>
      <c r="R5" s="44">
        <v>1.3983862013202306</v>
      </c>
      <c r="S5" s="44">
        <v>1.4362688881278052</v>
      </c>
      <c r="T5" s="43">
        <f>Output!$I$4</f>
        <v>2.9223939014688001</v>
      </c>
      <c r="U5" s="44">
        <v>1.5157998307935596</v>
      </c>
      <c r="V5" s="44">
        <v>1.5575288880060461</v>
      </c>
      <c r="W5" s="44">
        <v>1.6006229762500261</v>
      </c>
      <c r="X5" s="44">
        <v>1.6451257112105873</v>
      </c>
      <c r="Y5" s="44">
        <v>1.6910820628064398</v>
      </c>
    </row>
    <row r="6" spans="1:25" x14ac:dyDescent="0.3">
      <c r="A6" s="37" t="s">
        <v>2</v>
      </c>
      <c r="B6" s="38">
        <v>1</v>
      </c>
      <c r="C6" s="39">
        <v>4779962.734808417</v>
      </c>
      <c r="D6" s="39">
        <v>4774757.1972464193</v>
      </c>
      <c r="E6" s="39">
        <v>4769551.6596844178</v>
      </c>
      <c r="F6" s="39">
        <v>4764346.1221224181</v>
      </c>
      <c r="G6" s="39">
        <v>4759140.5845604185</v>
      </c>
      <c r="H6" s="40">
        <f>Output!$I$2</f>
        <v>19223939.014688</v>
      </c>
      <c r="I6" s="39">
        <v>4748729.5094364192</v>
      </c>
      <c r="J6" s="39">
        <v>4743523.9718744177</v>
      </c>
      <c r="K6" s="39">
        <v>4738318.4343124181</v>
      </c>
      <c r="L6" s="39">
        <v>4733112.8967504203</v>
      </c>
      <c r="M6" s="39">
        <v>4727907.3591884188</v>
      </c>
      <c r="N6" s="41"/>
      <c r="O6" s="44">
        <v>1.4779962734808416</v>
      </c>
      <c r="P6" s="44">
        <v>1.477475719724642</v>
      </c>
      <c r="Q6" s="44">
        <v>1.4769551659684419</v>
      </c>
      <c r="R6" s="44">
        <v>1.4764346122122418</v>
      </c>
      <c r="S6" s="44">
        <v>1.4759140584560417</v>
      </c>
      <c r="T6" s="43">
        <f>Output!$I$4</f>
        <v>2.9223939014688001</v>
      </c>
      <c r="U6" s="44">
        <v>1.474872950943642</v>
      </c>
      <c r="V6" s="44">
        <v>1.4743523971874417</v>
      </c>
      <c r="W6" s="44">
        <v>1.4738318434312419</v>
      </c>
      <c r="X6" s="44">
        <v>1.473311289675042</v>
      </c>
      <c r="Y6" s="44">
        <v>1.4727907359188419</v>
      </c>
    </row>
    <row r="7" spans="1:25" x14ac:dyDescent="0.3">
      <c r="A7" s="37" t="s">
        <v>20</v>
      </c>
      <c r="B7" s="38">
        <v>1</v>
      </c>
      <c r="C7" s="39">
        <v>-186844.73423161171</v>
      </c>
      <c r="D7" s="39">
        <v>801311.22201439459</v>
      </c>
      <c r="E7" s="39">
        <v>1789467.178260399</v>
      </c>
      <c r="F7" s="39">
        <v>2777623.1345064053</v>
      </c>
      <c r="G7" s="39">
        <v>3765779.0907524116</v>
      </c>
      <c r="H7" s="40">
        <f>Output!$I$2</f>
        <v>19223939.014688</v>
      </c>
      <c r="I7" s="39">
        <v>5742091.0032444224</v>
      </c>
      <c r="J7" s="39">
        <v>6730246.9594904259</v>
      </c>
      <c r="K7" s="39">
        <v>7718402.915736435</v>
      </c>
      <c r="L7" s="39">
        <v>8706558.8719824441</v>
      </c>
      <c r="M7" s="39">
        <v>9694714.8282284476</v>
      </c>
      <c r="N7" s="41"/>
      <c r="O7" s="44">
        <v>0.98131552657683885</v>
      </c>
      <c r="P7" s="44">
        <v>1.0801311222014394</v>
      </c>
      <c r="Q7" s="44">
        <v>1.17894671782604</v>
      </c>
      <c r="R7" s="44">
        <v>1.2777623134506406</v>
      </c>
      <c r="S7" s="44">
        <v>1.3765779090752412</v>
      </c>
      <c r="T7" s="43">
        <f>Output!$I$4</f>
        <v>2.9223939014688001</v>
      </c>
      <c r="U7" s="44">
        <v>1.5742091003244423</v>
      </c>
      <c r="V7" s="44">
        <v>1.6730246959490427</v>
      </c>
      <c r="W7" s="44">
        <v>1.7718402915736435</v>
      </c>
      <c r="X7" s="44">
        <v>1.8706558871982444</v>
      </c>
      <c r="Y7" s="44">
        <v>1.9694714828228448</v>
      </c>
    </row>
    <row r="8" spans="1:25" x14ac:dyDescent="0.3">
      <c r="C8" s="5"/>
      <c r="D8" s="5"/>
      <c r="E8" s="5"/>
      <c r="F8" s="5"/>
      <c r="G8" s="5"/>
      <c r="I8" s="5"/>
      <c r="J8" s="5"/>
      <c r="K8" s="5"/>
      <c r="L8" s="5"/>
      <c r="M8" s="5"/>
      <c r="N8" s="6"/>
      <c r="O8" s="6"/>
      <c r="P8" s="6"/>
      <c r="Q8" s="6"/>
      <c r="R8" s="6"/>
      <c r="S8" s="6"/>
      <c r="T8" s="6"/>
      <c r="U8" s="6"/>
      <c r="V8" s="6"/>
      <c r="W8" s="6"/>
      <c r="X8" s="6"/>
      <c r="Y8" s="6"/>
    </row>
    <row r="9" spans="1:25" x14ac:dyDescent="0.3">
      <c r="C9" s="5"/>
      <c r="D9" s="5"/>
      <c r="E9" s="5"/>
      <c r="F9" s="5"/>
      <c r="G9" s="5"/>
      <c r="I9" s="5"/>
      <c r="J9" s="5"/>
      <c r="K9" s="5"/>
      <c r="L9" s="5"/>
      <c r="M9" s="5"/>
      <c r="N9" s="6"/>
      <c r="O9" s="6"/>
      <c r="P9" s="6"/>
      <c r="Q9" s="6"/>
      <c r="R9" s="6"/>
      <c r="S9" s="6"/>
      <c r="T9" s="6"/>
      <c r="U9" s="6"/>
      <c r="V9" s="6"/>
      <c r="W9" s="6"/>
      <c r="X9" s="6"/>
      <c r="Y9" s="6"/>
    </row>
    <row r="10" spans="1:25" x14ac:dyDescent="0.3">
      <c r="C10" s="5"/>
      <c r="D10" s="5"/>
      <c r="E10" s="5"/>
      <c r="F10" s="5"/>
      <c r="G10" s="5"/>
      <c r="I10" s="5"/>
      <c r="J10" s="5"/>
      <c r="K10" s="5"/>
      <c r="L10" s="5"/>
      <c r="M10" s="5"/>
    </row>
    <row r="31" spans="1:1" x14ac:dyDescent="0.3">
      <c r="A31" s="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ThisWorkbook.Sensitivity">
                <anchor moveWithCells="1" sizeWithCells="1">
                  <from>
                    <xdr:col>0</xdr:col>
                    <xdr:colOff>152400</xdr:colOff>
                    <xdr:row>10</xdr:row>
                    <xdr:rowOff>99060</xdr:rowOff>
                  </from>
                  <to>
                    <xdr:col>1</xdr:col>
                    <xdr:colOff>1379220</xdr:colOff>
                    <xdr:row>12</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Input</vt:lpstr>
      <vt:lpstr>Calculation</vt:lpstr>
      <vt:lpstr>Output</vt:lpstr>
      <vt:lpstr>Sensitivity Analysis</vt:lpstr>
      <vt:lpstr>inflation</vt:lpstr>
      <vt:lpstr>npv</vt:lpstr>
      <vt:lpstr>price</vt:lpstr>
      <vt:lpstr>tax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Sunjida Haque</dc:creator>
  <cp:lastModifiedBy>Sunjida Haque</cp:lastModifiedBy>
  <dcterms:created xsi:type="dcterms:W3CDTF">2021-06-28T11:05:34Z</dcterms:created>
  <dcterms:modified xsi:type="dcterms:W3CDTF">2023-03-25T21:02:55Z</dcterms:modified>
</cp:coreProperties>
</file>